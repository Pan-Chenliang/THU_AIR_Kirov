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lab\Project\Kirov\仿真\data\"/>
    </mc:Choice>
  </mc:AlternateContent>
  <xr:revisionPtr revIDLastSave="0" documentId="13_ncr:1_{06309A4C-3AA9-40DE-BFB4-3FB0DB19DAEC}" xr6:coauthVersionLast="47" xr6:coauthVersionMax="47" xr10:uidLastSave="{00000000-0000-0000-0000-000000000000}"/>
  <bookViews>
    <workbookView xWindow="43080" yWindow="2805" windowWidth="38640" windowHeight="15720" activeTab="3" xr2:uid="{CDBE83F1-B213-42EE-8299-F5466D99B751}"/>
  </bookViews>
  <sheets>
    <sheet name="基本气动_体轴系" sheetId="3" r:id="rId1"/>
    <sheet name="基本气动_风轴系" sheetId="2" r:id="rId2"/>
    <sheet name="舵效" sheetId="1" r:id="rId3"/>
    <sheet name="动导数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E29" i="1"/>
  <c r="C29" i="1"/>
  <c r="D29" i="1"/>
  <c r="F29" i="1"/>
  <c r="B29" i="1"/>
  <c r="B31" i="1"/>
  <c r="B30" i="1"/>
  <c r="D30" i="1"/>
  <c r="D31" i="1"/>
  <c r="G26" i="1"/>
  <c r="E26" i="1"/>
  <c r="C26" i="1"/>
  <c r="D26" i="1"/>
  <c r="F26" i="1"/>
  <c r="B26" i="1"/>
  <c r="E20" i="1"/>
  <c r="C20" i="1"/>
  <c r="D20" i="1"/>
  <c r="F20" i="1"/>
  <c r="B20" i="1"/>
  <c r="G20" i="1"/>
  <c r="D72" i="2"/>
  <c r="E72" i="2"/>
  <c r="F72" i="2"/>
  <c r="G72" i="2"/>
  <c r="H72" i="2"/>
  <c r="I72" i="2"/>
  <c r="D73" i="2"/>
  <c r="E73" i="2"/>
  <c r="F73" i="2"/>
  <c r="G73" i="2"/>
  <c r="H73" i="2"/>
  <c r="I73" i="2"/>
  <c r="D74" i="2"/>
  <c r="E74" i="2"/>
  <c r="F74" i="2"/>
  <c r="G74" i="2"/>
  <c r="H74" i="2"/>
  <c r="I74" i="2"/>
  <c r="D75" i="2"/>
  <c r="E75" i="2"/>
  <c r="F75" i="2"/>
  <c r="G75" i="2"/>
  <c r="H75" i="2"/>
  <c r="I75" i="2"/>
  <c r="D76" i="2"/>
  <c r="E76" i="2"/>
  <c r="F76" i="2"/>
  <c r="G76" i="2"/>
  <c r="H76" i="2"/>
  <c r="I76" i="2"/>
  <c r="D77" i="2"/>
  <c r="E77" i="2"/>
  <c r="F77" i="2"/>
  <c r="G77" i="2"/>
  <c r="H77" i="2"/>
  <c r="I77" i="2"/>
  <c r="D78" i="2"/>
  <c r="E78" i="2"/>
  <c r="F78" i="2"/>
  <c r="G78" i="2"/>
  <c r="H78" i="2"/>
  <c r="I78" i="2"/>
  <c r="D79" i="2"/>
  <c r="E79" i="2"/>
  <c r="F79" i="2"/>
  <c r="G79" i="2"/>
  <c r="H79" i="2"/>
  <c r="I79" i="2"/>
  <c r="D80" i="2"/>
  <c r="E80" i="2"/>
  <c r="F80" i="2"/>
  <c r="G80" i="2"/>
  <c r="H80" i="2"/>
  <c r="I80" i="2"/>
  <c r="D81" i="2"/>
  <c r="E81" i="2"/>
  <c r="F81" i="2"/>
  <c r="G81" i="2"/>
  <c r="H81" i="2"/>
  <c r="I81" i="2"/>
  <c r="D82" i="2"/>
  <c r="E82" i="2"/>
  <c r="F82" i="2"/>
  <c r="G82" i="2"/>
  <c r="H82" i="2"/>
  <c r="I82" i="2"/>
  <c r="D83" i="2"/>
  <c r="E83" i="2"/>
  <c r="F83" i="2"/>
  <c r="G83" i="2"/>
  <c r="H83" i="2"/>
  <c r="I83" i="2"/>
  <c r="D84" i="2"/>
  <c r="E84" i="2"/>
  <c r="F84" i="2"/>
  <c r="G84" i="2"/>
  <c r="H84" i="2"/>
  <c r="I84" i="2"/>
  <c r="C73" i="2"/>
  <c r="C74" i="2"/>
  <c r="C75" i="2"/>
  <c r="C76" i="2"/>
  <c r="C77" i="2"/>
  <c r="C78" i="2"/>
  <c r="C79" i="2"/>
  <c r="C80" i="2"/>
  <c r="C81" i="2"/>
  <c r="C82" i="2"/>
  <c r="C83" i="2"/>
  <c r="C84" i="2"/>
  <c r="C72" i="2"/>
  <c r="C59" i="2"/>
  <c r="D59" i="2"/>
  <c r="E59" i="2"/>
  <c r="F59" i="2"/>
  <c r="G59" i="2"/>
  <c r="H59" i="2"/>
  <c r="I59" i="2"/>
  <c r="C60" i="2"/>
  <c r="D60" i="2"/>
  <c r="E60" i="2"/>
  <c r="F60" i="2"/>
  <c r="G60" i="2"/>
  <c r="H60" i="2"/>
  <c r="I60" i="2"/>
  <c r="C61" i="2"/>
  <c r="D61" i="2"/>
  <c r="E61" i="2"/>
  <c r="F61" i="2"/>
  <c r="G61" i="2"/>
  <c r="H61" i="2"/>
  <c r="I61" i="2"/>
  <c r="C62" i="2"/>
  <c r="D62" i="2"/>
  <c r="E62" i="2"/>
  <c r="F62" i="2"/>
  <c r="G62" i="2"/>
  <c r="H62" i="2"/>
  <c r="I62" i="2"/>
  <c r="C63" i="2"/>
  <c r="D63" i="2"/>
  <c r="E63" i="2"/>
  <c r="F63" i="2"/>
  <c r="G63" i="2"/>
  <c r="H63" i="2"/>
  <c r="I63" i="2"/>
  <c r="C64" i="2"/>
  <c r="D64" i="2"/>
  <c r="E64" i="2"/>
  <c r="F64" i="2"/>
  <c r="G64" i="2"/>
  <c r="H64" i="2"/>
  <c r="I64" i="2"/>
  <c r="C65" i="2"/>
  <c r="D65" i="2"/>
  <c r="E65" i="2"/>
  <c r="F65" i="2"/>
  <c r="G65" i="2"/>
  <c r="H65" i="2"/>
  <c r="I65" i="2"/>
  <c r="C66" i="2"/>
  <c r="D66" i="2"/>
  <c r="E66" i="2"/>
  <c r="F66" i="2"/>
  <c r="G66" i="2"/>
  <c r="H66" i="2"/>
  <c r="I66" i="2"/>
  <c r="C67" i="2"/>
  <c r="D67" i="2"/>
  <c r="E67" i="2"/>
  <c r="F67" i="2"/>
  <c r="G67" i="2"/>
  <c r="H67" i="2"/>
  <c r="I67" i="2"/>
  <c r="C68" i="2"/>
  <c r="D68" i="2"/>
  <c r="E68" i="2"/>
  <c r="F68" i="2"/>
  <c r="G68" i="2"/>
  <c r="H68" i="2"/>
  <c r="I68" i="2"/>
  <c r="C69" i="2"/>
  <c r="D69" i="2"/>
  <c r="E69" i="2"/>
  <c r="F69" i="2"/>
  <c r="G69" i="2"/>
  <c r="H69" i="2"/>
  <c r="I69" i="2"/>
  <c r="C70" i="2"/>
  <c r="D70" i="2"/>
  <c r="E70" i="2"/>
  <c r="F70" i="2"/>
  <c r="G70" i="2"/>
  <c r="H70" i="2"/>
  <c r="I70" i="2"/>
  <c r="D58" i="2"/>
  <c r="E58" i="2"/>
  <c r="F58" i="2"/>
  <c r="G58" i="2"/>
  <c r="H58" i="2"/>
  <c r="I58" i="2"/>
  <c r="C58" i="2"/>
  <c r="C45" i="2"/>
  <c r="D45" i="2"/>
  <c r="E45" i="2"/>
  <c r="F45" i="2"/>
  <c r="G45" i="2"/>
  <c r="H45" i="2"/>
  <c r="I45" i="2"/>
  <c r="C46" i="2"/>
  <c r="D46" i="2"/>
  <c r="E46" i="2"/>
  <c r="F46" i="2"/>
  <c r="G46" i="2"/>
  <c r="H46" i="2"/>
  <c r="I46" i="2"/>
  <c r="C47" i="2"/>
  <c r="D47" i="2"/>
  <c r="E47" i="2"/>
  <c r="F47" i="2"/>
  <c r="G47" i="2"/>
  <c r="H47" i="2"/>
  <c r="I47" i="2"/>
  <c r="C48" i="2"/>
  <c r="D48" i="2"/>
  <c r="E48" i="2"/>
  <c r="F48" i="2"/>
  <c r="G48" i="2"/>
  <c r="H48" i="2"/>
  <c r="I48" i="2"/>
  <c r="C49" i="2"/>
  <c r="D49" i="2"/>
  <c r="E49" i="2"/>
  <c r="F49" i="2"/>
  <c r="G49" i="2"/>
  <c r="H49" i="2"/>
  <c r="I49" i="2"/>
  <c r="C50" i="2"/>
  <c r="D50" i="2"/>
  <c r="E50" i="2"/>
  <c r="F50" i="2"/>
  <c r="G50" i="2"/>
  <c r="H50" i="2"/>
  <c r="I50" i="2"/>
  <c r="C51" i="2"/>
  <c r="D51" i="2"/>
  <c r="E51" i="2"/>
  <c r="F51" i="2"/>
  <c r="G51" i="2"/>
  <c r="H51" i="2"/>
  <c r="I51" i="2"/>
  <c r="C52" i="2"/>
  <c r="D52" i="2"/>
  <c r="E52" i="2"/>
  <c r="F52" i="2"/>
  <c r="G52" i="2"/>
  <c r="H52" i="2"/>
  <c r="I52" i="2"/>
  <c r="C53" i="2"/>
  <c r="D53" i="2"/>
  <c r="E53" i="2"/>
  <c r="F53" i="2"/>
  <c r="G53" i="2"/>
  <c r="H53" i="2"/>
  <c r="I53" i="2"/>
  <c r="C54" i="2"/>
  <c r="D54" i="2"/>
  <c r="E54" i="2"/>
  <c r="F54" i="2"/>
  <c r="G54" i="2"/>
  <c r="H54" i="2"/>
  <c r="I54" i="2"/>
  <c r="C55" i="2"/>
  <c r="D55" i="2"/>
  <c r="E55" i="2"/>
  <c r="F55" i="2"/>
  <c r="G55" i="2"/>
  <c r="H55" i="2"/>
  <c r="I55" i="2"/>
  <c r="C56" i="2"/>
  <c r="D56" i="2"/>
  <c r="E56" i="2"/>
  <c r="F56" i="2"/>
  <c r="G56" i="2"/>
  <c r="H56" i="2"/>
  <c r="I56" i="2"/>
  <c r="D44" i="2"/>
  <c r="E44" i="2"/>
  <c r="F44" i="2"/>
  <c r="G44" i="2"/>
  <c r="H44" i="2"/>
  <c r="I44" i="2"/>
  <c r="C44" i="2"/>
  <c r="U72" i="2"/>
  <c r="V72" i="2"/>
  <c r="W72" i="2"/>
  <c r="X72" i="2"/>
  <c r="Y72" i="2"/>
  <c r="Z72" i="2"/>
  <c r="U73" i="2"/>
  <c r="V73" i="2"/>
  <c r="W73" i="2"/>
  <c r="X73" i="2"/>
  <c r="Y73" i="2"/>
  <c r="Z73" i="2"/>
  <c r="U74" i="2"/>
  <c r="V74" i="2"/>
  <c r="W74" i="2"/>
  <c r="X74" i="2"/>
  <c r="Y74" i="2"/>
  <c r="Z74" i="2"/>
  <c r="U75" i="2"/>
  <c r="V75" i="2"/>
  <c r="W75" i="2"/>
  <c r="X75" i="2"/>
  <c r="Y75" i="2"/>
  <c r="Z75" i="2"/>
  <c r="U76" i="2"/>
  <c r="V76" i="2"/>
  <c r="W76" i="2"/>
  <c r="X76" i="2"/>
  <c r="Y76" i="2"/>
  <c r="Z76" i="2"/>
  <c r="U77" i="2"/>
  <c r="V77" i="2"/>
  <c r="W77" i="2"/>
  <c r="X77" i="2"/>
  <c r="Y77" i="2"/>
  <c r="Z77" i="2"/>
  <c r="U78" i="2"/>
  <c r="V78" i="2"/>
  <c r="W78" i="2"/>
  <c r="X78" i="2"/>
  <c r="Y78" i="2"/>
  <c r="Z78" i="2"/>
  <c r="U79" i="2"/>
  <c r="V79" i="2"/>
  <c r="W79" i="2"/>
  <c r="X79" i="2"/>
  <c r="Y79" i="2"/>
  <c r="Z79" i="2"/>
  <c r="U80" i="2"/>
  <c r="V80" i="2"/>
  <c r="W80" i="2"/>
  <c r="X80" i="2"/>
  <c r="Y80" i="2"/>
  <c r="Z80" i="2"/>
  <c r="U81" i="2"/>
  <c r="V81" i="2"/>
  <c r="W81" i="2"/>
  <c r="X81" i="2"/>
  <c r="Y81" i="2"/>
  <c r="Z81" i="2"/>
  <c r="U82" i="2"/>
  <c r="V82" i="2"/>
  <c r="W82" i="2"/>
  <c r="X82" i="2"/>
  <c r="Y82" i="2"/>
  <c r="Z82" i="2"/>
  <c r="U83" i="2"/>
  <c r="V83" i="2"/>
  <c r="W83" i="2"/>
  <c r="X83" i="2"/>
  <c r="Y83" i="2"/>
  <c r="Z83" i="2"/>
  <c r="U84" i="2"/>
  <c r="V84" i="2"/>
  <c r="W84" i="2"/>
  <c r="X84" i="2"/>
  <c r="Y84" i="2"/>
  <c r="Z84" i="2"/>
  <c r="T73" i="2"/>
  <c r="T74" i="2"/>
  <c r="T75" i="2"/>
  <c r="T76" i="2"/>
  <c r="T77" i="2"/>
  <c r="T78" i="2"/>
  <c r="T79" i="2"/>
  <c r="T80" i="2"/>
  <c r="T81" i="2"/>
  <c r="T82" i="2"/>
  <c r="T83" i="2"/>
  <c r="T84" i="2"/>
  <c r="T72" i="2"/>
  <c r="T59" i="2"/>
  <c r="U59" i="2"/>
  <c r="V59" i="2"/>
  <c r="W59" i="2"/>
  <c r="X59" i="2"/>
  <c r="Y59" i="2"/>
  <c r="Z59" i="2"/>
  <c r="T60" i="2"/>
  <c r="U60" i="2"/>
  <c r="V60" i="2"/>
  <c r="W60" i="2"/>
  <c r="X60" i="2"/>
  <c r="Y60" i="2"/>
  <c r="Z60" i="2"/>
  <c r="T61" i="2"/>
  <c r="U61" i="2"/>
  <c r="V61" i="2"/>
  <c r="W61" i="2"/>
  <c r="X61" i="2"/>
  <c r="Y61" i="2"/>
  <c r="Z61" i="2"/>
  <c r="T62" i="2"/>
  <c r="U62" i="2"/>
  <c r="V62" i="2"/>
  <c r="W62" i="2"/>
  <c r="X62" i="2"/>
  <c r="Y62" i="2"/>
  <c r="Z62" i="2"/>
  <c r="T63" i="2"/>
  <c r="U63" i="2"/>
  <c r="V63" i="2"/>
  <c r="W63" i="2"/>
  <c r="X63" i="2"/>
  <c r="Y63" i="2"/>
  <c r="Z63" i="2"/>
  <c r="T64" i="2"/>
  <c r="U64" i="2"/>
  <c r="V64" i="2"/>
  <c r="W64" i="2"/>
  <c r="X64" i="2"/>
  <c r="Y64" i="2"/>
  <c r="Z64" i="2"/>
  <c r="T65" i="2"/>
  <c r="U65" i="2"/>
  <c r="V65" i="2"/>
  <c r="W65" i="2"/>
  <c r="X65" i="2"/>
  <c r="Y65" i="2"/>
  <c r="Z65" i="2"/>
  <c r="T66" i="2"/>
  <c r="U66" i="2"/>
  <c r="V66" i="2"/>
  <c r="W66" i="2"/>
  <c r="X66" i="2"/>
  <c r="Y66" i="2"/>
  <c r="Z66" i="2"/>
  <c r="T67" i="2"/>
  <c r="U67" i="2"/>
  <c r="V67" i="2"/>
  <c r="W67" i="2"/>
  <c r="X67" i="2"/>
  <c r="Y67" i="2"/>
  <c r="Z67" i="2"/>
  <c r="T68" i="2"/>
  <c r="U68" i="2"/>
  <c r="V68" i="2"/>
  <c r="W68" i="2"/>
  <c r="X68" i="2"/>
  <c r="Y68" i="2"/>
  <c r="Z68" i="2"/>
  <c r="T69" i="2"/>
  <c r="U69" i="2"/>
  <c r="V69" i="2"/>
  <c r="W69" i="2"/>
  <c r="X69" i="2"/>
  <c r="Y69" i="2"/>
  <c r="Z69" i="2"/>
  <c r="T70" i="2"/>
  <c r="U70" i="2"/>
  <c r="V70" i="2"/>
  <c r="W70" i="2"/>
  <c r="X70" i="2"/>
  <c r="Y70" i="2"/>
  <c r="Z70" i="2"/>
  <c r="U58" i="2"/>
  <c r="V58" i="2"/>
  <c r="W58" i="2"/>
  <c r="X58" i="2"/>
  <c r="Y58" i="2"/>
  <c r="Z58" i="2"/>
  <c r="T58" i="2"/>
  <c r="T45" i="2"/>
  <c r="U45" i="2"/>
  <c r="V45" i="2"/>
  <c r="W45" i="2"/>
  <c r="X45" i="2"/>
  <c r="Y45" i="2"/>
  <c r="Z45" i="2"/>
  <c r="T46" i="2"/>
  <c r="U46" i="2"/>
  <c r="V46" i="2"/>
  <c r="W46" i="2"/>
  <c r="X46" i="2"/>
  <c r="Y46" i="2"/>
  <c r="Z46" i="2"/>
  <c r="T47" i="2"/>
  <c r="U47" i="2"/>
  <c r="V47" i="2"/>
  <c r="W47" i="2"/>
  <c r="X47" i="2"/>
  <c r="Y47" i="2"/>
  <c r="Z47" i="2"/>
  <c r="T48" i="2"/>
  <c r="U48" i="2"/>
  <c r="V48" i="2"/>
  <c r="W48" i="2"/>
  <c r="X48" i="2"/>
  <c r="Y48" i="2"/>
  <c r="Z48" i="2"/>
  <c r="T49" i="2"/>
  <c r="U49" i="2"/>
  <c r="V49" i="2"/>
  <c r="W49" i="2"/>
  <c r="X49" i="2"/>
  <c r="Y49" i="2"/>
  <c r="Z49" i="2"/>
  <c r="T50" i="2"/>
  <c r="U50" i="2"/>
  <c r="V50" i="2"/>
  <c r="W50" i="2"/>
  <c r="X50" i="2"/>
  <c r="Y50" i="2"/>
  <c r="Z50" i="2"/>
  <c r="T51" i="2"/>
  <c r="U51" i="2"/>
  <c r="V51" i="2"/>
  <c r="W51" i="2"/>
  <c r="X51" i="2"/>
  <c r="Y51" i="2"/>
  <c r="Z51" i="2"/>
  <c r="T52" i="2"/>
  <c r="U52" i="2"/>
  <c r="V52" i="2"/>
  <c r="W52" i="2"/>
  <c r="X52" i="2"/>
  <c r="Y52" i="2"/>
  <c r="Z52" i="2"/>
  <c r="T53" i="2"/>
  <c r="U53" i="2"/>
  <c r="V53" i="2"/>
  <c r="W53" i="2"/>
  <c r="X53" i="2"/>
  <c r="Y53" i="2"/>
  <c r="Z53" i="2"/>
  <c r="T54" i="2"/>
  <c r="U54" i="2"/>
  <c r="V54" i="2"/>
  <c r="W54" i="2"/>
  <c r="X54" i="2"/>
  <c r="Y54" i="2"/>
  <c r="Z54" i="2"/>
  <c r="T55" i="2"/>
  <c r="U55" i="2"/>
  <c r="V55" i="2"/>
  <c r="W55" i="2"/>
  <c r="X55" i="2"/>
  <c r="Y55" i="2"/>
  <c r="Z55" i="2"/>
  <c r="T56" i="2"/>
  <c r="U56" i="2"/>
  <c r="V56" i="2"/>
  <c r="W56" i="2"/>
  <c r="X56" i="2"/>
  <c r="Y56" i="2"/>
  <c r="Z56" i="2"/>
  <c r="U44" i="2"/>
  <c r="V44" i="2"/>
  <c r="W44" i="2"/>
  <c r="X44" i="2"/>
  <c r="Y44" i="2"/>
  <c r="Z44" i="2"/>
  <c r="T44" i="2"/>
  <c r="C31" i="2"/>
  <c r="D31" i="2"/>
  <c r="E31" i="2"/>
  <c r="F31" i="2"/>
  <c r="G31" i="2"/>
  <c r="H31" i="2"/>
  <c r="I31" i="2"/>
  <c r="C32" i="2"/>
  <c r="D32" i="2"/>
  <c r="E32" i="2"/>
  <c r="F32" i="2"/>
  <c r="G32" i="2"/>
  <c r="H32" i="2"/>
  <c r="I32" i="2"/>
  <c r="C33" i="2"/>
  <c r="D33" i="2"/>
  <c r="E33" i="2"/>
  <c r="F33" i="2"/>
  <c r="G33" i="2"/>
  <c r="H33" i="2"/>
  <c r="I33" i="2"/>
  <c r="C34" i="2"/>
  <c r="D34" i="2"/>
  <c r="E34" i="2"/>
  <c r="F34" i="2"/>
  <c r="G34" i="2"/>
  <c r="H34" i="2"/>
  <c r="I34" i="2"/>
  <c r="C35" i="2"/>
  <c r="D35" i="2"/>
  <c r="E35" i="2"/>
  <c r="F35" i="2"/>
  <c r="G35" i="2"/>
  <c r="H35" i="2"/>
  <c r="I35" i="2"/>
  <c r="C36" i="2"/>
  <c r="D36" i="2"/>
  <c r="E36" i="2"/>
  <c r="F36" i="2"/>
  <c r="G36" i="2"/>
  <c r="H36" i="2"/>
  <c r="I36" i="2"/>
  <c r="C37" i="2"/>
  <c r="D37" i="2"/>
  <c r="E37" i="2"/>
  <c r="F37" i="2"/>
  <c r="G37" i="2"/>
  <c r="H37" i="2"/>
  <c r="I37" i="2"/>
  <c r="C38" i="2"/>
  <c r="D38" i="2"/>
  <c r="E38" i="2"/>
  <c r="F38" i="2"/>
  <c r="G38" i="2"/>
  <c r="H38" i="2"/>
  <c r="I38" i="2"/>
  <c r="C39" i="2"/>
  <c r="D39" i="2"/>
  <c r="E39" i="2"/>
  <c r="F39" i="2"/>
  <c r="G39" i="2"/>
  <c r="H39" i="2"/>
  <c r="I39" i="2"/>
  <c r="C40" i="2"/>
  <c r="D40" i="2"/>
  <c r="E40" i="2"/>
  <c r="F40" i="2"/>
  <c r="G40" i="2"/>
  <c r="H40" i="2"/>
  <c r="I40" i="2"/>
  <c r="C41" i="2"/>
  <c r="D41" i="2"/>
  <c r="E41" i="2"/>
  <c r="F41" i="2"/>
  <c r="G41" i="2"/>
  <c r="H41" i="2"/>
  <c r="I41" i="2"/>
  <c r="C42" i="2"/>
  <c r="D42" i="2"/>
  <c r="E42" i="2"/>
  <c r="F42" i="2"/>
  <c r="G42" i="2"/>
  <c r="H42" i="2"/>
  <c r="I42" i="2"/>
  <c r="D30" i="2"/>
  <c r="E30" i="2"/>
  <c r="F30" i="2"/>
  <c r="G30" i="2"/>
  <c r="H30" i="2"/>
  <c r="I30" i="2"/>
  <c r="C30" i="2"/>
  <c r="C17" i="2"/>
  <c r="D17" i="2"/>
  <c r="E17" i="2"/>
  <c r="F17" i="2"/>
  <c r="G17" i="2"/>
  <c r="H17" i="2"/>
  <c r="I17" i="2"/>
  <c r="C18" i="2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G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I27" i="2"/>
  <c r="C28" i="2"/>
  <c r="D28" i="2"/>
  <c r="E28" i="2"/>
  <c r="F28" i="2"/>
  <c r="G28" i="2"/>
  <c r="H28" i="2"/>
  <c r="I28" i="2"/>
  <c r="D16" i="2"/>
  <c r="E16" i="2"/>
  <c r="F16" i="2"/>
  <c r="G16" i="2"/>
  <c r="H16" i="2"/>
  <c r="I16" i="2"/>
  <c r="C16" i="2"/>
  <c r="C3" i="2"/>
  <c r="D3" i="2"/>
  <c r="E3" i="2"/>
  <c r="F3" i="2"/>
  <c r="G3" i="2"/>
  <c r="H3" i="2"/>
  <c r="I3" i="2"/>
  <c r="C4" i="2"/>
  <c r="D4" i="2"/>
  <c r="E4" i="2"/>
  <c r="F4" i="2"/>
  <c r="G4" i="2"/>
  <c r="H4" i="2"/>
  <c r="I4" i="2"/>
  <c r="C5" i="2"/>
  <c r="D5" i="2"/>
  <c r="E5" i="2"/>
  <c r="F5" i="2"/>
  <c r="G5" i="2"/>
  <c r="H5" i="2"/>
  <c r="I5" i="2"/>
  <c r="C6" i="2"/>
  <c r="D6" i="2"/>
  <c r="E6" i="2"/>
  <c r="F6" i="2"/>
  <c r="G6" i="2"/>
  <c r="H6" i="2"/>
  <c r="I6" i="2"/>
  <c r="C7" i="2"/>
  <c r="D7" i="2"/>
  <c r="E7" i="2"/>
  <c r="F7" i="2"/>
  <c r="G7" i="2"/>
  <c r="H7" i="2"/>
  <c r="I7" i="2"/>
  <c r="C8" i="2"/>
  <c r="D8" i="2"/>
  <c r="E8" i="2"/>
  <c r="F8" i="2"/>
  <c r="G8" i="2"/>
  <c r="H8" i="2"/>
  <c r="I8" i="2"/>
  <c r="C9" i="2"/>
  <c r="D9" i="2"/>
  <c r="E9" i="2"/>
  <c r="F9" i="2"/>
  <c r="G9" i="2"/>
  <c r="H9" i="2"/>
  <c r="I9" i="2"/>
  <c r="C10" i="2"/>
  <c r="D10" i="2"/>
  <c r="E10" i="2"/>
  <c r="F10" i="2"/>
  <c r="G10" i="2"/>
  <c r="H10" i="2"/>
  <c r="I10" i="2"/>
  <c r="C11" i="2"/>
  <c r="D11" i="2"/>
  <c r="E11" i="2"/>
  <c r="F11" i="2"/>
  <c r="G11" i="2"/>
  <c r="H11" i="2"/>
  <c r="I11" i="2"/>
  <c r="C12" i="2"/>
  <c r="D12" i="2"/>
  <c r="E12" i="2"/>
  <c r="F12" i="2"/>
  <c r="G12" i="2"/>
  <c r="H12" i="2"/>
  <c r="I12" i="2"/>
  <c r="C13" i="2"/>
  <c r="D13" i="2"/>
  <c r="E13" i="2"/>
  <c r="F13" i="2"/>
  <c r="G13" i="2"/>
  <c r="H13" i="2"/>
  <c r="I13" i="2"/>
  <c r="C14" i="2"/>
  <c r="D14" i="2"/>
  <c r="E14" i="2"/>
  <c r="F14" i="2"/>
  <c r="G14" i="2"/>
  <c r="H14" i="2"/>
  <c r="I14" i="2"/>
  <c r="D2" i="2"/>
  <c r="E2" i="2"/>
  <c r="F2" i="2"/>
  <c r="G2" i="2"/>
  <c r="H2" i="2"/>
  <c r="I2" i="2"/>
  <c r="C2" i="2"/>
  <c r="N2" i="3"/>
  <c r="O2" i="3"/>
  <c r="P2" i="3"/>
  <c r="Q2" i="3"/>
  <c r="R2" i="3"/>
  <c r="S2" i="3"/>
  <c r="T2" i="3"/>
  <c r="N3" i="3"/>
  <c r="O3" i="3"/>
  <c r="P3" i="3"/>
  <c r="Q3" i="3"/>
  <c r="R3" i="3"/>
  <c r="S3" i="3"/>
  <c r="T3" i="3"/>
  <c r="N4" i="3"/>
  <c r="O4" i="3"/>
  <c r="P4" i="3"/>
  <c r="Q4" i="3"/>
  <c r="R4" i="3"/>
  <c r="S4" i="3"/>
  <c r="T4" i="3"/>
  <c r="N5" i="3"/>
  <c r="O5" i="3"/>
  <c r="P5" i="3"/>
  <c r="Q5" i="3"/>
  <c r="R5" i="3"/>
  <c r="S5" i="3"/>
  <c r="T5" i="3"/>
  <c r="N6" i="3"/>
  <c r="O6" i="3"/>
  <c r="P6" i="3"/>
  <c r="Q6" i="3"/>
  <c r="R6" i="3"/>
  <c r="S6" i="3"/>
  <c r="T6" i="3"/>
  <c r="N7" i="3"/>
  <c r="O7" i="3"/>
  <c r="P7" i="3"/>
  <c r="Q7" i="3"/>
  <c r="R7" i="3"/>
  <c r="S7" i="3"/>
  <c r="T7" i="3"/>
  <c r="N8" i="3"/>
  <c r="O8" i="3"/>
  <c r="P8" i="3"/>
  <c r="Q8" i="3"/>
  <c r="R8" i="3"/>
  <c r="S8" i="3"/>
  <c r="T8" i="3"/>
  <c r="N9" i="3"/>
  <c r="O9" i="3"/>
  <c r="P9" i="3"/>
  <c r="Q9" i="3"/>
  <c r="R9" i="3"/>
  <c r="S9" i="3"/>
  <c r="T9" i="3"/>
  <c r="N10" i="3"/>
  <c r="O10" i="3"/>
  <c r="P10" i="3"/>
  <c r="Q10" i="3"/>
  <c r="R10" i="3"/>
  <c r="S10" i="3"/>
  <c r="T10" i="3"/>
  <c r="N11" i="3"/>
  <c r="O11" i="3"/>
  <c r="P11" i="3"/>
  <c r="Q11" i="3"/>
  <c r="R11" i="3"/>
  <c r="S11" i="3"/>
  <c r="T11" i="3"/>
  <c r="N12" i="3"/>
  <c r="O12" i="3"/>
  <c r="P12" i="3"/>
  <c r="Q12" i="3"/>
  <c r="R12" i="3"/>
  <c r="S12" i="3"/>
  <c r="T12" i="3"/>
  <c r="N13" i="3"/>
  <c r="O13" i="3"/>
  <c r="P13" i="3"/>
  <c r="Q13" i="3"/>
  <c r="R13" i="3"/>
  <c r="S13" i="3"/>
  <c r="T13" i="3"/>
  <c r="N14" i="3"/>
  <c r="O14" i="3"/>
  <c r="P14" i="3"/>
  <c r="Q14" i="3"/>
  <c r="R14" i="3"/>
  <c r="S14" i="3"/>
  <c r="T14" i="3"/>
  <c r="N15" i="3"/>
  <c r="O15" i="3"/>
  <c r="P15" i="3"/>
  <c r="Q15" i="3"/>
  <c r="R15" i="3"/>
  <c r="S15" i="3"/>
  <c r="T15" i="3"/>
  <c r="N16" i="3"/>
  <c r="O16" i="3"/>
  <c r="P16" i="3"/>
  <c r="Q16" i="3"/>
  <c r="R16" i="3"/>
  <c r="S16" i="3"/>
  <c r="T16" i="3"/>
  <c r="N17" i="3"/>
  <c r="O17" i="3"/>
  <c r="P17" i="3"/>
  <c r="Q17" i="3"/>
  <c r="R17" i="3"/>
  <c r="S17" i="3"/>
  <c r="T17" i="3"/>
  <c r="N18" i="3"/>
  <c r="O18" i="3"/>
  <c r="P18" i="3"/>
  <c r="Q18" i="3"/>
  <c r="R18" i="3"/>
  <c r="S18" i="3"/>
  <c r="T18" i="3"/>
  <c r="N19" i="3"/>
  <c r="O19" i="3"/>
  <c r="P19" i="3"/>
  <c r="Q19" i="3"/>
  <c r="R19" i="3"/>
  <c r="S19" i="3"/>
  <c r="T19" i="3"/>
  <c r="N20" i="3"/>
  <c r="O20" i="3"/>
  <c r="P20" i="3"/>
  <c r="Q20" i="3"/>
  <c r="R20" i="3"/>
  <c r="S20" i="3"/>
  <c r="T20" i="3"/>
  <c r="N21" i="3"/>
  <c r="O21" i="3"/>
  <c r="P21" i="3"/>
  <c r="Q21" i="3"/>
  <c r="R21" i="3"/>
  <c r="S21" i="3"/>
  <c r="T21" i="3"/>
  <c r="N22" i="3"/>
  <c r="O22" i="3"/>
  <c r="P22" i="3"/>
  <c r="Q22" i="3"/>
  <c r="R22" i="3"/>
  <c r="S22" i="3"/>
  <c r="T22" i="3"/>
  <c r="N23" i="3"/>
  <c r="O23" i="3"/>
  <c r="P23" i="3"/>
  <c r="Q23" i="3"/>
  <c r="R23" i="3"/>
  <c r="S23" i="3"/>
  <c r="T23" i="3"/>
  <c r="N24" i="3"/>
  <c r="O24" i="3"/>
  <c r="P24" i="3"/>
  <c r="Q24" i="3"/>
  <c r="R24" i="3"/>
  <c r="S24" i="3"/>
  <c r="T24" i="3"/>
  <c r="N25" i="3"/>
  <c r="O25" i="3"/>
  <c r="P25" i="3"/>
  <c r="Q25" i="3"/>
  <c r="R25" i="3"/>
  <c r="S25" i="3"/>
  <c r="T25" i="3"/>
  <c r="N26" i="3"/>
  <c r="O26" i="3"/>
  <c r="P26" i="3"/>
  <c r="Q26" i="3"/>
  <c r="R26" i="3"/>
  <c r="S26" i="3"/>
  <c r="T26" i="3"/>
  <c r="N27" i="3"/>
  <c r="O27" i="3"/>
  <c r="P27" i="3"/>
  <c r="Q27" i="3"/>
  <c r="R27" i="3"/>
  <c r="S27" i="3"/>
  <c r="T27" i="3"/>
  <c r="N28" i="3"/>
  <c r="O28" i="3"/>
  <c r="P28" i="3"/>
  <c r="Q28" i="3"/>
  <c r="R28" i="3"/>
  <c r="S28" i="3"/>
  <c r="T28" i="3"/>
  <c r="N29" i="3"/>
  <c r="O29" i="3"/>
  <c r="P29" i="3"/>
  <c r="Q29" i="3"/>
  <c r="R29" i="3"/>
  <c r="S29" i="3"/>
  <c r="T29" i="3"/>
  <c r="N30" i="3"/>
  <c r="O30" i="3"/>
  <c r="P30" i="3"/>
  <c r="Q30" i="3"/>
  <c r="R30" i="3"/>
  <c r="S30" i="3"/>
  <c r="T30" i="3"/>
  <c r="N31" i="3"/>
  <c r="O31" i="3"/>
  <c r="P31" i="3"/>
  <c r="Q31" i="3"/>
  <c r="R31" i="3"/>
  <c r="S31" i="3"/>
  <c r="T31" i="3"/>
  <c r="N32" i="3"/>
  <c r="O32" i="3"/>
  <c r="P32" i="3"/>
  <c r="Q32" i="3"/>
  <c r="R32" i="3"/>
  <c r="S32" i="3"/>
  <c r="T32" i="3"/>
  <c r="N33" i="3"/>
  <c r="O33" i="3"/>
  <c r="P33" i="3"/>
  <c r="Q33" i="3"/>
  <c r="R33" i="3"/>
  <c r="S33" i="3"/>
  <c r="T33" i="3"/>
  <c r="N34" i="3"/>
  <c r="O34" i="3"/>
  <c r="P34" i="3"/>
  <c r="Q34" i="3"/>
  <c r="R34" i="3"/>
  <c r="S34" i="3"/>
  <c r="T34" i="3"/>
  <c r="N35" i="3"/>
  <c r="O35" i="3"/>
  <c r="P35" i="3"/>
  <c r="Q35" i="3"/>
  <c r="R35" i="3"/>
  <c r="S35" i="3"/>
  <c r="T35" i="3"/>
  <c r="N36" i="3"/>
  <c r="O36" i="3"/>
  <c r="P36" i="3"/>
  <c r="Q36" i="3"/>
  <c r="R36" i="3"/>
  <c r="S36" i="3"/>
  <c r="T36" i="3"/>
  <c r="N37" i="3"/>
  <c r="O37" i="3"/>
  <c r="P37" i="3"/>
  <c r="Q37" i="3"/>
  <c r="R37" i="3"/>
  <c r="S37" i="3"/>
  <c r="T37" i="3"/>
  <c r="N38" i="3"/>
  <c r="O38" i="3"/>
  <c r="P38" i="3"/>
  <c r="Q38" i="3"/>
  <c r="R38" i="3"/>
  <c r="S38" i="3"/>
  <c r="T38" i="3"/>
  <c r="N39" i="3"/>
  <c r="O39" i="3"/>
  <c r="P39" i="3"/>
  <c r="Q39" i="3"/>
  <c r="R39" i="3"/>
  <c r="S39" i="3"/>
  <c r="T39" i="3"/>
  <c r="N40" i="3"/>
  <c r="O40" i="3"/>
  <c r="P40" i="3"/>
  <c r="Q40" i="3"/>
  <c r="R40" i="3"/>
  <c r="S40" i="3"/>
  <c r="T40" i="3"/>
  <c r="N41" i="3"/>
  <c r="O41" i="3"/>
  <c r="P41" i="3"/>
  <c r="Q41" i="3"/>
  <c r="R41" i="3"/>
  <c r="S41" i="3"/>
  <c r="T41" i="3"/>
  <c r="N42" i="3"/>
  <c r="O42" i="3"/>
  <c r="P42" i="3"/>
  <c r="Q42" i="3"/>
  <c r="R42" i="3"/>
  <c r="S42" i="3"/>
  <c r="T42" i="3"/>
  <c r="N43" i="3"/>
  <c r="O43" i="3"/>
  <c r="P43" i="3"/>
  <c r="Q43" i="3"/>
  <c r="R43" i="3"/>
  <c r="S43" i="3"/>
  <c r="T43" i="3"/>
  <c r="N44" i="3"/>
  <c r="O44" i="3"/>
  <c r="P44" i="3"/>
  <c r="Q44" i="3"/>
  <c r="R44" i="3"/>
  <c r="S44" i="3"/>
  <c r="T44" i="3"/>
  <c r="N45" i="3"/>
  <c r="O45" i="3"/>
  <c r="P45" i="3"/>
  <c r="Q45" i="3"/>
  <c r="R45" i="3"/>
  <c r="S45" i="3"/>
  <c r="T45" i="3"/>
  <c r="N46" i="3"/>
  <c r="O46" i="3"/>
  <c r="P46" i="3"/>
  <c r="Q46" i="3"/>
  <c r="R46" i="3"/>
  <c r="S46" i="3"/>
  <c r="T46" i="3"/>
  <c r="N47" i="3"/>
  <c r="O47" i="3"/>
  <c r="P47" i="3"/>
  <c r="Q47" i="3"/>
  <c r="R47" i="3"/>
  <c r="S47" i="3"/>
  <c r="T47" i="3"/>
  <c r="N48" i="3"/>
  <c r="O48" i="3"/>
  <c r="P48" i="3"/>
  <c r="Q48" i="3"/>
  <c r="R48" i="3"/>
  <c r="S48" i="3"/>
  <c r="T48" i="3"/>
  <c r="N49" i="3"/>
  <c r="O49" i="3"/>
  <c r="P49" i="3"/>
  <c r="Q49" i="3"/>
  <c r="R49" i="3"/>
  <c r="S49" i="3"/>
  <c r="T49" i="3"/>
  <c r="N50" i="3"/>
  <c r="O50" i="3"/>
  <c r="P50" i="3"/>
  <c r="Q50" i="3"/>
  <c r="R50" i="3"/>
  <c r="S50" i="3"/>
  <c r="T50" i="3"/>
  <c r="N51" i="3"/>
  <c r="O51" i="3"/>
  <c r="P51" i="3"/>
  <c r="Q51" i="3"/>
  <c r="R51" i="3"/>
  <c r="S51" i="3"/>
  <c r="T51" i="3"/>
  <c r="N52" i="3"/>
  <c r="O52" i="3"/>
  <c r="P52" i="3"/>
  <c r="Q52" i="3"/>
  <c r="R52" i="3"/>
  <c r="S52" i="3"/>
  <c r="T52" i="3"/>
  <c r="N53" i="3"/>
  <c r="O53" i="3"/>
  <c r="P53" i="3"/>
  <c r="Q53" i="3"/>
  <c r="R53" i="3"/>
  <c r="S53" i="3"/>
  <c r="T53" i="3"/>
  <c r="N54" i="3"/>
  <c r="O54" i="3"/>
  <c r="P54" i="3"/>
  <c r="Q54" i="3"/>
  <c r="R54" i="3"/>
  <c r="S54" i="3"/>
  <c r="T54" i="3"/>
  <c r="N55" i="3"/>
  <c r="O55" i="3"/>
  <c r="P55" i="3"/>
  <c r="Q55" i="3"/>
  <c r="R55" i="3"/>
  <c r="S55" i="3"/>
  <c r="T55" i="3"/>
  <c r="N56" i="3"/>
  <c r="O56" i="3"/>
  <c r="P56" i="3"/>
  <c r="Q56" i="3"/>
  <c r="R56" i="3"/>
  <c r="S56" i="3"/>
  <c r="T56" i="3"/>
  <c r="N57" i="3"/>
  <c r="O57" i="3"/>
  <c r="P57" i="3"/>
  <c r="Q57" i="3"/>
  <c r="R57" i="3"/>
  <c r="S57" i="3"/>
  <c r="T57" i="3"/>
  <c r="N58" i="3"/>
  <c r="O58" i="3"/>
  <c r="P58" i="3"/>
  <c r="Q58" i="3"/>
  <c r="R58" i="3"/>
  <c r="S58" i="3"/>
  <c r="T58" i="3"/>
  <c r="N59" i="3"/>
  <c r="O59" i="3"/>
  <c r="P59" i="3"/>
  <c r="Q59" i="3"/>
  <c r="R59" i="3"/>
  <c r="S59" i="3"/>
  <c r="T59" i="3"/>
  <c r="N60" i="3"/>
  <c r="O60" i="3"/>
  <c r="P60" i="3"/>
  <c r="Q60" i="3"/>
  <c r="R60" i="3"/>
  <c r="S60" i="3"/>
  <c r="T60" i="3"/>
  <c r="N61" i="3"/>
  <c r="O61" i="3"/>
  <c r="P61" i="3"/>
  <c r="Q61" i="3"/>
  <c r="R61" i="3"/>
  <c r="S61" i="3"/>
  <c r="T61" i="3"/>
  <c r="N62" i="3"/>
  <c r="O62" i="3"/>
  <c r="P62" i="3"/>
  <c r="Q62" i="3"/>
  <c r="R62" i="3"/>
  <c r="S62" i="3"/>
  <c r="T62" i="3"/>
  <c r="N63" i="3"/>
  <c r="O63" i="3"/>
  <c r="P63" i="3"/>
  <c r="Q63" i="3"/>
  <c r="R63" i="3"/>
  <c r="S63" i="3"/>
  <c r="T63" i="3"/>
  <c r="N64" i="3"/>
  <c r="O64" i="3"/>
  <c r="P64" i="3"/>
  <c r="Q64" i="3"/>
  <c r="R64" i="3"/>
  <c r="S64" i="3"/>
  <c r="T64" i="3"/>
  <c r="N65" i="3"/>
  <c r="O65" i="3"/>
  <c r="P65" i="3"/>
  <c r="Q65" i="3"/>
  <c r="R65" i="3"/>
  <c r="S65" i="3"/>
  <c r="T65" i="3"/>
  <c r="N66" i="3"/>
  <c r="O66" i="3"/>
  <c r="P66" i="3"/>
  <c r="Q66" i="3"/>
  <c r="R66" i="3"/>
  <c r="S66" i="3"/>
  <c r="T66" i="3"/>
  <c r="N67" i="3"/>
  <c r="O67" i="3"/>
  <c r="P67" i="3"/>
  <c r="Q67" i="3"/>
  <c r="R67" i="3"/>
  <c r="S67" i="3"/>
  <c r="T67" i="3"/>
  <c r="N68" i="3"/>
  <c r="O68" i="3"/>
  <c r="P68" i="3"/>
  <c r="Q68" i="3"/>
  <c r="R68" i="3"/>
  <c r="S68" i="3"/>
  <c r="T68" i="3"/>
  <c r="N69" i="3"/>
  <c r="O69" i="3"/>
  <c r="P69" i="3"/>
  <c r="Q69" i="3"/>
  <c r="R69" i="3"/>
  <c r="S69" i="3"/>
  <c r="T69" i="3"/>
  <c r="N70" i="3"/>
  <c r="O70" i="3"/>
  <c r="P70" i="3"/>
  <c r="Q70" i="3"/>
  <c r="R70" i="3"/>
  <c r="S70" i="3"/>
  <c r="T70" i="3"/>
  <c r="N71" i="3"/>
  <c r="O71" i="3"/>
  <c r="P71" i="3"/>
  <c r="Q71" i="3"/>
  <c r="R71" i="3"/>
  <c r="S71" i="3"/>
  <c r="T71" i="3"/>
  <c r="N72" i="3"/>
  <c r="O72" i="3"/>
  <c r="P72" i="3"/>
  <c r="Q72" i="3"/>
  <c r="R72" i="3"/>
  <c r="S72" i="3"/>
  <c r="T72" i="3"/>
  <c r="N73" i="3"/>
  <c r="O73" i="3"/>
  <c r="P73" i="3"/>
  <c r="Q73" i="3"/>
  <c r="R73" i="3"/>
  <c r="S73" i="3"/>
  <c r="T73" i="3"/>
  <c r="N74" i="3"/>
  <c r="O74" i="3"/>
  <c r="P74" i="3"/>
  <c r="Q74" i="3"/>
  <c r="R74" i="3"/>
  <c r="S74" i="3"/>
  <c r="T74" i="3"/>
  <c r="N75" i="3"/>
  <c r="O75" i="3"/>
  <c r="P75" i="3"/>
  <c r="Q75" i="3"/>
  <c r="R75" i="3"/>
  <c r="S75" i="3"/>
  <c r="T75" i="3"/>
  <c r="N76" i="3"/>
  <c r="O76" i="3"/>
  <c r="P76" i="3"/>
  <c r="Q76" i="3"/>
  <c r="R76" i="3"/>
  <c r="S76" i="3"/>
  <c r="T76" i="3"/>
  <c r="N77" i="3"/>
  <c r="O77" i="3"/>
  <c r="P77" i="3"/>
  <c r="Q77" i="3"/>
  <c r="R77" i="3"/>
  <c r="S77" i="3"/>
  <c r="T77" i="3"/>
  <c r="N78" i="3"/>
  <c r="O78" i="3"/>
  <c r="P78" i="3"/>
  <c r="Q78" i="3"/>
  <c r="R78" i="3"/>
  <c r="S78" i="3"/>
  <c r="T78" i="3"/>
  <c r="N79" i="3"/>
  <c r="O79" i="3"/>
  <c r="P79" i="3"/>
  <c r="Q79" i="3"/>
  <c r="R79" i="3"/>
  <c r="S79" i="3"/>
  <c r="T79" i="3"/>
  <c r="N80" i="3"/>
  <c r="O80" i="3"/>
  <c r="P80" i="3"/>
  <c r="Q80" i="3"/>
  <c r="R80" i="3"/>
  <c r="S80" i="3"/>
  <c r="T80" i="3"/>
  <c r="N81" i="3"/>
  <c r="O81" i="3"/>
  <c r="P81" i="3"/>
  <c r="Q81" i="3"/>
  <c r="R81" i="3"/>
  <c r="S81" i="3"/>
  <c r="T81" i="3"/>
  <c r="N82" i="3"/>
  <c r="O82" i="3"/>
  <c r="P82" i="3"/>
  <c r="Q82" i="3"/>
  <c r="R82" i="3"/>
  <c r="S82" i="3"/>
  <c r="T82" i="3"/>
  <c r="N83" i="3"/>
  <c r="O83" i="3"/>
  <c r="P83" i="3"/>
  <c r="Q83" i="3"/>
  <c r="R83" i="3"/>
  <c r="S83" i="3"/>
  <c r="T83" i="3"/>
  <c r="N84" i="3"/>
  <c r="O84" i="3"/>
  <c r="P84" i="3"/>
  <c r="Q84" i="3"/>
  <c r="R84" i="3"/>
  <c r="S84" i="3"/>
  <c r="T84" i="3"/>
  <c r="G30" i="1"/>
  <c r="G31" i="1"/>
  <c r="F30" i="1"/>
  <c r="F31" i="1"/>
  <c r="E31" i="1"/>
  <c r="E30" i="1"/>
  <c r="C31" i="1"/>
  <c r="C30" i="1"/>
  <c r="D21" i="1"/>
  <c r="G25" i="1"/>
  <c r="G24" i="1"/>
  <c r="G22" i="1"/>
  <c r="G21" i="1"/>
  <c r="F25" i="1"/>
  <c r="F24" i="1"/>
  <c r="F22" i="1"/>
  <c r="F21" i="1"/>
  <c r="E25" i="1"/>
  <c r="E24" i="1"/>
  <c r="E22" i="1"/>
  <c r="E21" i="1"/>
  <c r="D25" i="1"/>
  <c r="D24" i="1"/>
  <c r="D22" i="1"/>
  <c r="C25" i="1"/>
  <c r="C24" i="1"/>
  <c r="C22" i="1"/>
  <c r="C21" i="1"/>
  <c r="B25" i="1"/>
  <c r="B24" i="1"/>
  <c r="B22" i="1"/>
  <c r="B21" i="1"/>
</calcChain>
</file>

<file path=xl/sharedStrings.xml><?xml version="1.0" encoding="utf-8"?>
<sst xmlns="http://schemas.openxmlformats.org/spreadsheetml/2006/main" count="72" uniqueCount="46">
  <si>
    <t>ΔFx (N)</t>
  </si>
  <si>
    <t>ΔFy (N)</t>
  </si>
  <si>
    <t>ΔFz (N)</t>
  </si>
  <si>
    <t>ΔMx (N·m)</t>
  </si>
  <si>
    <t>ΔMy (N·m)</t>
  </si>
  <si>
    <t>ΔMz (N·m)</t>
  </si>
  <si>
    <t>ELEV</t>
    <phoneticPr fontId="1" type="noConversion"/>
  </si>
  <si>
    <t>LAILE</t>
    <phoneticPr fontId="1" type="noConversion"/>
  </si>
  <si>
    <t>RAILE</t>
    <phoneticPr fontId="1" type="noConversion"/>
  </si>
  <si>
    <t>舵面向下为正</t>
    <phoneticPr fontId="1" type="noConversion"/>
  </si>
  <si>
    <t>舵面向上为正</t>
    <phoneticPr fontId="1" type="noConversion"/>
  </si>
  <si>
    <t>FLAPS</t>
    <phoneticPr fontId="1" type="noConversion"/>
  </si>
  <si>
    <t>RUDD</t>
    <phoneticPr fontId="1" type="noConversion"/>
  </si>
  <si>
    <t>从后面看舵面向左为正</t>
    <phoneticPr fontId="1" type="noConversion"/>
  </si>
  <si>
    <t>迎角 α [deg]</t>
  </si>
  <si>
    <t>Fx [N]</t>
  </si>
  <si>
    <t>Fy [N]</t>
  </si>
  <si>
    <t>Fz [N]</t>
  </si>
  <si>
    <t>Mx_ref [N·m]</t>
  </si>
  <si>
    <t>My_ref [N·m]</t>
  </si>
  <si>
    <t>Mz_ref [N·m]</t>
  </si>
  <si>
    <t>基准</t>
    <phoneticPr fontId="1" type="noConversion"/>
  </si>
  <si>
    <t>ref分量</t>
    <phoneticPr fontId="1" type="noConversion"/>
  </si>
  <si>
    <t>侧滑增量</t>
    <phoneticPr fontId="1" type="noConversion"/>
  </si>
  <si>
    <t>wind</t>
    <phoneticPr fontId="1" type="noConversion"/>
  </si>
  <si>
    <t>L [N]</t>
    <phoneticPr fontId="1" type="noConversion"/>
  </si>
  <si>
    <t>D [N]</t>
    <phoneticPr fontId="1" type="noConversion"/>
  </si>
  <si>
    <t>Y [N]</t>
    <phoneticPr fontId="1" type="noConversion"/>
  </si>
  <si>
    <t>L_CG [N·m]</t>
    <phoneticPr fontId="1" type="noConversion"/>
  </si>
  <si>
    <t>M_CG [N·m]</t>
    <phoneticPr fontId="1" type="noConversion"/>
  </si>
  <si>
    <t>N_CG [N·m]</t>
    <phoneticPr fontId="1" type="noConversion"/>
  </si>
  <si>
    <t>Cmq</t>
    <phoneticPr fontId="1" type="noConversion"/>
  </si>
  <si>
    <t>项目</t>
    <phoneticPr fontId="1" type="noConversion"/>
  </si>
  <si>
    <t>数据</t>
    <phoneticPr fontId="1" type="noConversion"/>
  </si>
  <si>
    <t>CLq</t>
    <phoneticPr fontId="1" type="noConversion"/>
  </si>
  <si>
    <t>CLa</t>
    <phoneticPr fontId="1" type="noConversion"/>
  </si>
  <si>
    <t>Cma</t>
    <phoneticPr fontId="1" type="noConversion"/>
  </si>
  <si>
    <t>Clp</t>
    <phoneticPr fontId="1" type="noConversion"/>
  </si>
  <si>
    <t>Cnp</t>
  </si>
  <si>
    <t>Cnr</t>
    <phoneticPr fontId="1" type="noConversion"/>
  </si>
  <si>
    <t>Clr</t>
    <phoneticPr fontId="1" type="noConversion"/>
  </si>
  <si>
    <t>Clb</t>
    <phoneticPr fontId="1" type="noConversion"/>
  </si>
  <si>
    <t>Cnb</t>
  </si>
  <si>
    <t>S</t>
    <phoneticPr fontId="1" type="noConversion"/>
  </si>
  <si>
    <t>c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</si>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</sst>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/>
    <xf numFmtId="0" fontId="0" fillId="0" borderId="0" xfId="0" applyAlignment="1"/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ELEV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舵效!$A$2:$A$8</c:f>
              <c:numCache>
                <c:formatCode>General</c:formatCode>
                <c:ptCount val="7"/>
                <c:pt idx="0">
                  <c:v>-30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</c:numCache>
            </c:numRef>
          </c:xVal>
          <c:yVal>
            <c:numRef>
              <c:f>舵效!$F$2:$F$8</c:f>
              <c:numCache>
                <c:formatCode>0.000000</c:formatCode>
                <c:ptCount val="7"/>
                <c:pt idx="0">
                  <c:v>120.6119715386136</c:v>
                </c:pt>
                <c:pt idx="1">
                  <c:v>92.939540413827075</c:v>
                </c:pt>
                <c:pt idx="2">
                  <c:v>66.10475900039944</c:v>
                </c:pt>
                <c:pt idx="3">
                  <c:v>0</c:v>
                </c:pt>
                <c:pt idx="4">
                  <c:v>-64.912715743479623</c:v>
                </c:pt>
                <c:pt idx="5">
                  <c:v>-86.436120949173329</c:v>
                </c:pt>
                <c:pt idx="6">
                  <c:v>-108.13171128246979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A-428B-826D-01828F3EE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908464"/>
        <c:axId val="557812784"/>
      </c:scatterChart>
      <c:valAx>
        <c:axId val="123290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7812784"/>
        <c:crosses val="autoZero"/>
        <c:crossBetween val="midCat"/>
      </c:valAx>
      <c:valAx>
        <c:axId val="5578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290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AILE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舵效!$A$11:$A$17</c:f>
              <c:numCache>
                <c:formatCode>General</c:formatCode>
                <c:ptCount val="7"/>
                <c:pt idx="0">
                  <c:v>-30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</c:numCache>
            </c:numRef>
          </c:xVal>
          <c:yVal>
            <c:numRef>
              <c:f>舵效!$E$11:$E$17</c:f>
              <c:numCache>
                <c:formatCode>0.000000</c:formatCode>
                <c:ptCount val="7"/>
                <c:pt idx="0">
                  <c:v>65.556327210620992</c:v>
                </c:pt>
                <c:pt idx="1">
                  <c:v>60.536063196300248</c:v>
                </c:pt>
                <c:pt idx="2">
                  <c:v>47.637381374695103</c:v>
                </c:pt>
                <c:pt idx="3">
                  <c:v>0</c:v>
                </c:pt>
                <c:pt idx="4">
                  <c:v>-53.12605560570114</c:v>
                </c:pt>
                <c:pt idx="5">
                  <c:v>-104.0713315122161</c:v>
                </c:pt>
                <c:pt idx="6">
                  <c:v>-131.9967450006535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9B-4C36-9007-D4E377C51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99040"/>
        <c:axId val="557799344"/>
      </c:scatterChart>
      <c:valAx>
        <c:axId val="122929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7799344"/>
        <c:crosses val="autoZero"/>
        <c:crossBetween val="midCat"/>
      </c:valAx>
      <c:valAx>
        <c:axId val="55779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929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RUDD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舵效!$A$29:$A$35</c:f>
              <c:numCache>
                <c:formatCode>General</c:formatCode>
                <c:ptCount val="7"/>
                <c:pt idx="0">
                  <c:v>-30</c:v>
                </c:pt>
                <c:pt idx="1">
                  <c:v>-20</c:v>
                </c:pt>
                <c:pt idx="2">
                  <c:v>-10</c:v>
                </c:pt>
                <c:pt idx="3">
                  <c:v>0</c:v>
                </c:pt>
                <c:pt idx="4">
                  <c:v>10</c:v>
                </c:pt>
                <c:pt idx="5">
                  <c:v>20</c:v>
                </c:pt>
                <c:pt idx="6">
                  <c:v>30</c:v>
                </c:pt>
              </c:numCache>
            </c:numRef>
          </c:xVal>
          <c:yVal>
            <c:numRef>
              <c:f>舵效!$G$29:$G$35</c:f>
              <c:numCache>
                <c:formatCode>0.000000</c:formatCode>
                <c:ptCount val="7"/>
                <c:pt idx="0">
                  <c:v>127.804461821706</c:v>
                </c:pt>
                <c:pt idx="1">
                  <c:v>106.8043006598031</c:v>
                </c:pt>
                <c:pt idx="2">
                  <c:v>70.957642628593192</c:v>
                </c:pt>
                <c:pt idx="3">
                  <c:v>0</c:v>
                </c:pt>
                <c:pt idx="4">
                  <c:v>-70.957642628593192</c:v>
                </c:pt>
                <c:pt idx="5">
                  <c:v>-106.8043006598031</c:v>
                </c:pt>
                <c:pt idx="6">
                  <c:v>-127.804461821706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C-4C1B-B8A0-99368C527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985536"/>
        <c:axId val="1198177392"/>
      </c:scatterChart>
      <c:valAx>
        <c:axId val="12009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8177392"/>
        <c:crosses val="autoZero"/>
        <c:crossBetween val="midCat"/>
      </c:valAx>
      <c:valAx>
        <c:axId val="119817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098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100012</xdr:colOff>
      <xdr:row>0</xdr:row>
      <xdr:rowOff>40481</xdr:rowOff>
    </xdr:from>
    <xdr:to>
      <xdr:col>15</xdr:col>
      <xdr:colOff>157162</xdr:colOff>
      <xdr:row>17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132659-A875-A079-2834-F0E770EBB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104774</xdr:colOff>
      <xdr:row>17</xdr:row>
      <xdr:rowOff>45242</xdr:rowOff>
    </xdr:from>
    <xdr:to>
      <xdr:col>15</xdr:col>
      <xdr:colOff>152400</xdr:colOff>
      <xdr:row>32</xdr:row>
      <xdr:rowOff>42862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7930E24-8362-0032-CB48-16FB4FEA9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95251</xdr:colOff>
      <xdr:row>32</xdr:row>
      <xdr:rowOff>50005</xdr:rowOff>
    </xdr:from>
    <xdr:to>
      <xdr:col>15</xdr:col>
      <xdr:colOff>128589</xdr:colOff>
      <xdr:row>45</xdr:row>
      <xdr:rowOff>90486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91482FF-E95B-30E9-82FA-52526C43F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D110-BFB9-490D-92B7-F8A631CC3792}">
  <dimension ref="A1:T84"/>
  <sheetViews>
    <sheetView zoomScale="70" zoomScaleNormal="70" workbookViewId="0">
      <selection activeCell="I34" sqref="I34"/>
    </sheetView>
  </sheetViews>
  <sheetFormatPr defaultRowHeight="13.9" x14ac:dyDescent="0.4"/>
  <cols>
    <col min="2" max="2" width="10.59765625" customWidth="1"/>
    <col min="14" max="14" width="9.06640625" customWidth="1"/>
  </cols>
  <sheetData>
    <row r="1" spans="1:20" x14ac:dyDescent="0.4">
      <c r="A1" t="s">
        <v>22</v>
      </c>
      <c r="B1" t="s">
        <v>14</v>
      </c>
      <c r="C1" t="s">
        <v>21</v>
      </c>
      <c r="E1" t="s">
        <v>23</v>
      </c>
      <c r="F1">
        <v>2</v>
      </c>
      <c r="G1">
        <v>4</v>
      </c>
      <c r="H1">
        <v>8</v>
      </c>
      <c r="I1">
        <v>12</v>
      </c>
      <c r="J1">
        <v>16</v>
      </c>
      <c r="K1">
        <v>20</v>
      </c>
      <c r="N1">
        <v>0</v>
      </c>
      <c r="O1">
        <v>2</v>
      </c>
      <c r="P1">
        <v>4</v>
      </c>
      <c r="Q1">
        <v>8</v>
      </c>
      <c r="R1">
        <v>12</v>
      </c>
      <c r="S1">
        <v>16</v>
      </c>
      <c r="T1">
        <v>20</v>
      </c>
    </row>
    <row r="2" spans="1:20" x14ac:dyDescent="0.4">
      <c r="A2" s="5" t="s">
        <v>15</v>
      </c>
      <c r="B2">
        <v>-6</v>
      </c>
      <c r="C2">
        <v>-26.518403367998559</v>
      </c>
      <c r="E2">
        <v>0</v>
      </c>
      <c r="F2">
        <v>0.18845291140138798</v>
      </c>
      <c r="G2">
        <v>0.25978169566607789</v>
      </c>
      <c r="H2">
        <v>2.0884179531348295</v>
      </c>
      <c r="I2">
        <v>3.3841270350199899</v>
      </c>
      <c r="J2">
        <v>2.2903764533568598</v>
      </c>
      <c r="K2">
        <v>2.5270633694940798</v>
      </c>
      <c r="N2">
        <f t="shared" ref="N2:N33" si="0">$C2+E2</f>
        <v>-26.518403367998559</v>
      </c>
      <c r="O2">
        <f t="shared" ref="O2:O33" si="1">$C2+F2</f>
        <v>-26.329950456597171</v>
      </c>
      <c r="P2">
        <f t="shared" ref="P2:P33" si="2">$C2+G2</f>
        <v>-26.258621672332481</v>
      </c>
      <c r="Q2">
        <f t="shared" ref="Q2:Q33" si="3">$C2+H2</f>
        <v>-24.429985414863729</v>
      </c>
      <c r="R2">
        <f t="shared" ref="R2:R33" si="4">$C2+I2</f>
        <v>-23.134276332978569</v>
      </c>
      <c r="S2">
        <f t="shared" ref="S2:S33" si="5">$C2+J2</f>
        <v>-24.228026914641699</v>
      </c>
      <c r="T2">
        <f t="shared" ref="T2:T33" si="6">$C2+K2</f>
        <v>-23.991339998504479</v>
      </c>
    </row>
    <row r="3" spans="1:20" x14ac:dyDescent="0.4">
      <c r="A3" s="5"/>
      <c r="B3">
        <v>-4</v>
      </c>
      <c r="C3">
        <v>-16.975808851644</v>
      </c>
      <c r="E3">
        <v>0</v>
      </c>
      <c r="F3">
        <v>0.25703333148540963</v>
      </c>
      <c r="G3">
        <v>0.81957157167504135</v>
      </c>
      <c r="H3">
        <v>1.9901104726770811</v>
      </c>
      <c r="I3">
        <v>3.8921200771221809</v>
      </c>
      <c r="J3">
        <v>1.8810296295025513</v>
      </c>
      <c r="K3">
        <v>1.9776602177831109</v>
      </c>
      <c r="N3">
        <f t="shared" si="0"/>
        <v>-16.975808851644</v>
      </c>
      <c r="O3">
        <f t="shared" si="1"/>
        <v>-16.718775520158591</v>
      </c>
      <c r="P3">
        <f t="shared" si="2"/>
        <v>-16.156237279968959</v>
      </c>
      <c r="Q3">
        <f t="shared" si="3"/>
        <v>-14.985698378966919</v>
      </c>
      <c r="R3">
        <f t="shared" si="4"/>
        <v>-13.08368877452182</v>
      </c>
      <c r="S3">
        <f t="shared" si="5"/>
        <v>-15.094779222141449</v>
      </c>
      <c r="T3">
        <f t="shared" si="6"/>
        <v>-14.99814863386089</v>
      </c>
    </row>
    <row r="4" spans="1:20" x14ac:dyDescent="0.4">
      <c r="A4" s="5"/>
      <c r="B4">
        <v>-2</v>
      </c>
      <c r="C4">
        <v>-17.486809415785611</v>
      </c>
      <c r="E4">
        <v>0</v>
      </c>
      <c r="F4">
        <v>0.18322198237541087</v>
      </c>
      <c r="G4">
        <v>0.75807502113477199</v>
      </c>
      <c r="H4">
        <v>2.4290215025114819</v>
      </c>
      <c r="I4">
        <v>3.4217930857123715</v>
      </c>
      <c r="J4">
        <v>1.5723319027047005</v>
      </c>
      <c r="K4">
        <v>2.1840129361544811</v>
      </c>
      <c r="N4">
        <f t="shared" si="0"/>
        <v>-17.486809415785611</v>
      </c>
      <c r="O4">
        <f t="shared" si="1"/>
        <v>-17.3035874334102</v>
      </c>
      <c r="P4">
        <f t="shared" si="2"/>
        <v>-16.728734394650839</v>
      </c>
      <c r="Q4">
        <f t="shared" si="3"/>
        <v>-15.057787913274129</v>
      </c>
      <c r="R4">
        <f t="shared" si="4"/>
        <v>-14.06501633007324</v>
      </c>
      <c r="S4">
        <f t="shared" si="5"/>
        <v>-15.914477513080911</v>
      </c>
      <c r="T4">
        <f t="shared" si="6"/>
        <v>-15.30279647963113</v>
      </c>
    </row>
    <row r="5" spans="1:20" x14ac:dyDescent="0.4">
      <c r="A5" s="5"/>
      <c r="B5">
        <v>0</v>
      </c>
      <c r="C5">
        <v>-14.61538981260515</v>
      </c>
      <c r="E5">
        <v>0</v>
      </c>
      <c r="F5">
        <v>0.18560127474276911</v>
      </c>
      <c r="G5">
        <v>0.76054619938877899</v>
      </c>
      <c r="H5">
        <v>2.6427627348308906</v>
      </c>
      <c r="I5">
        <v>3.2811753873682292</v>
      </c>
      <c r="J5">
        <v>1.457430996604959</v>
      </c>
      <c r="K5">
        <v>2.1701090199916599</v>
      </c>
      <c r="N5">
        <f t="shared" si="0"/>
        <v>-14.61538981260515</v>
      </c>
      <c r="O5">
        <f t="shared" si="1"/>
        <v>-14.429788537862381</v>
      </c>
      <c r="P5">
        <f t="shared" si="2"/>
        <v>-13.854843613216371</v>
      </c>
      <c r="Q5">
        <f t="shared" si="3"/>
        <v>-11.972627077774259</v>
      </c>
      <c r="R5">
        <f t="shared" si="4"/>
        <v>-11.334214425236921</v>
      </c>
      <c r="S5">
        <f t="shared" si="5"/>
        <v>-13.157958816000191</v>
      </c>
      <c r="T5">
        <f t="shared" si="6"/>
        <v>-12.44528079261349</v>
      </c>
    </row>
    <row r="6" spans="1:20" x14ac:dyDescent="0.4">
      <c r="A6" s="5"/>
      <c r="B6">
        <v>2</v>
      </c>
      <c r="C6">
        <v>-7.1362723216725898</v>
      </c>
      <c r="E6">
        <v>0</v>
      </c>
      <c r="F6">
        <v>0.18950447831994666</v>
      </c>
      <c r="G6">
        <v>0.76074714626584683</v>
      </c>
      <c r="H6">
        <v>2.8839791193061215</v>
      </c>
      <c r="I6">
        <v>3.0770869225206434</v>
      </c>
      <c r="J6">
        <v>1.1929983557094737</v>
      </c>
      <c r="K6">
        <v>1.642188959602505</v>
      </c>
      <c r="N6">
        <f t="shared" si="0"/>
        <v>-7.1362723216725898</v>
      </c>
      <c r="O6">
        <f t="shared" si="1"/>
        <v>-6.9467678433526432</v>
      </c>
      <c r="P6">
        <f t="shared" si="2"/>
        <v>-6.375525175406743</v>
      </c>
      <c r="Q6">
        <f t="shared" si="3"/>
        <v>-4.2522932023664683</v>
      </c>
      <c r="R6">
        <f t="shared" si="4"/>
        <v>-4.0591853991519464</v>
      </c>
      <c r="S6">
        <f t="shared" si="5"/>
        <v>-5.9432739659631162</v>
      </c>
      <c r="T6">
        <f t="shared" si="6"/>
        <v>-5.4940833620700849</v>
      </c>
    </row>
    <row r="7" spans="1:20" x14ac:dyDescent="0.4">
      <c r="A7" s="5"/>
      <c r="B7">
        <v>4</v>
      </c>
      <c r="C7">
        <v>4.5280978740082469</v>
      </c>
      <c r="E7">
        <v>0</v>
      </c>
      <c r="F7">
        <v>0.19279676989960493</v>
      </c>
      <c r="G7">
        <v>0.75770845096059691</v>
      </c>
      <c r="H7">
        <v>2.7827904035486917</v>
      </c>
      <c r="I7">
        <v>2.6389545227110807</v>
      </c>
      <c r="J7">
        <v>1.0675678542744684</v>
      </c>
      <c r="K7">
        <v>1.2271038922673814</v>
      </c>
      <c r="N7">
        <f t="shared" si="0"/>
        <v>4.5280978740082469</v>
      </c>
      <c r="O7">
        <f t="shared" si="1"/>
        <v>4.7208946439078519</v>
      </c>
      <c r="P7">
        <f t="shared" si="2"/>
        <v>5.2858063249688438</v>
      </c>
      <c r="Q7">
        <f t="shared" si="3"/>
        <v>7.3108882775569386</v>
      </c>
      <c r="R7">
        <f t="shared" si="4"/>
        <v>7.1670523967193276</v>
      </c>
      <c r="S7">
        <f t="shared" si="5"/>
        <v>5.5956657282827154</v>
      </c>
      <c r="T7">
        <f t="shared" si="6"/>
        <v>5.7552017662756283</v>
      </c>
    </row>
    <row r="8" spans="1:20" x14ac:dyDescent="0.4">
      <c r="A8" s="5"/>
      <c r="B8">
        <v>6</v>
      </c>
      <c r="C8">
        <v>19.869599915439078</v>
      </c>
      <c r="E8">
        <v>0</v>
      </c>
      <c r="F8">
        <v>0.17962891756548061</v>
      </c>
      <c r="G8">
        <v>0.73126141930647037</v>
      </c>
      <c r="H8">
        <v>2.4773192981697107</v>
      </c>
      <c r="I8">
        <v>1.6317199197753602</v>
      </c>
      <c r="J8">
        <v>-0.12474653308091987</v>
      </c>
      <c r="K8">
        <v>-1.3034610439743481</v>
      </c>
      <c r="N8">
        <f t="shared" si="0"/>
        <v>19.869599915439078</v>
      </c>
      <c r="O8">
        <f t="shared" si="1"/>
        <v>20.049228833004559</v>
      </c>
      <c r="P8">
        <f t="shared" si="2"/>
        <v>20.600861334745549</v>
      </c>
      <c r="Q8">
        <f t="shared" si="3"/>
        <v>22.346919213608789</v>
      </c>
      <c r="R8">
        <f t="shared" si="4"/>
        <v>21.501319835214439</v>
      </c>
      <c r="S8">
        <f t="shared" si="5"/>
        <v>19.744853382358158</v>
      </c>
      <c r="T8">
        <f t="shared" si="6"/>
        <v>18.56613887146473</v>
      </c>
    </row>
    <row r="9" spans="1:20" x14ac:dyDescent="0.4">
      <c r="A9" s="5"/>
      <c r="B9">
        <v>8</v>
      </c>
      <c r="C9">
        <v>38.146851698196834</v>
      </c>
      <c r="E9">
        <v>0</v>
      </c>
      <c r="F9">
        <v>0.17846573984676439</v>
      </c>
      <c r="G9">
        <v>0.58999190928299328</v>
      </c>
      <c r="H9">
        <v>1.8429844089382499</v>
      </c>
      <c r="I9">
        <v>0.26076657056079</v>
      </c>
      <c r="J9">
        <v>-1.704016709847636</v>
      </c>
      <c r="K9">
        <v>-3.7848444225660458</v>
      </c>
      <c r="N9">
        <f t="shared" si="0"/>
        <v>38.146851698196834</v>
      </c>
      <c r="O9">
        <f t="shared" si="1"/>
        <v>38.325317438043598</v>
      </c>
      <c r="P9">
        <f t="shared" si="2"/>
        <v>38.736843607479827</v>
      </c>
      <c r="Q9">
        <f t="shared" si="3"/>
        <v>39.989836107135083</v>
      </c>
      <c r="R9">
        <f t="shared" si="4"/>
        <v>38.407618268757624</v>
      </c>
      <c r="S9">
        <f t="shared" si="5"/>
        <v>36.442834988349198</v>
      </c>
      <c r="T9">
        <f t="shared" si="6"/>
        <v>34.362007275630788</v>
      </c>
    </row>
    <row r="10" spans="1:20" x14ac:dyDescent="0.4">
      <c r="A10" s="5"/>
      <c r="B10">
        <v>10</v>
      </c>
      <c r="C10">
        <v>47.218846495612468</v>
      </c>
      <c r="E10">
        <v>0</v>
      </c>
      <c r="F10">
        <v>3.64884414946048</v>
      </c>
      <c r="G10">
        <v>4.5066335842986547</v>
      </c>
      <c r="H10">
        <v>6.5735550443589759</v>
      </c>
      <c r="I10">
        <v>6.9417880203918045</v>
      </c>
      <c r="J10">
        <v>3.6049644520103925</v>
      </c>
      <c r="K10">
        <v>3.6439878660099794</v>
      </c>
      <c r="N10">
        <f t="shared" si="0"/>
        <v>47.218846495612468</v>
      </c>
      <c r="O10">
        <f t="shared" si="1"/>
        <v>50.867690645072948</v>
      </c>
      <c r="P10">
        <f t="shared" si="2"/>
        <v>51.725480079911122</v>
      </c>
      <c r="Q10">
        <f t="shared" si="3"/>
        <v>53.792401539971443</v>
      </c>
      <c r="R10">
        <f t="shared" si="4"/>
        <v>54.160634516004272</v>
      </c>
      <c r="S10">
        <f t="shared" si="5"/>
        <v>50.82381094762286</v>
      </c>
      <c r="T10">
        <f t="shared" si="6"/>
        <v>50.862834361622447</v>
      </c>
    </row>
    <row r="11" spans="1:20" x14ac:dyDescent="0.4">
      <c r="A11" s="5"/>
      <c r="B11">
        <v>11</v>
      </c>
      <c r="C11">
        <v>52.180098666225163</v>
      </c>
      <c r="E11">
        <v>0</v>
      </c>
      <c r="F11">
        <v>-3.1193215162442343</v>
      </c>
      <c r="G11">
        <v>-1.110412481526815</v>
      </c>
      <c r="H11">
        <v>9.859823218576949</v>
      </c>
      <c r="I11">
        <v>10.525203689323639</v>
      </c>
      <c r="J11">
        <v>9.1076357606498988</v>
      </c>
      <c r="K11">
        <v>9.6712954575921941</v>
      </c>
      <c r="N11">
        <f t="shared" si="0"/>
        <v>52.180098666225163</v>
      </c>
      <c r="O11">
        <f t="shared" si="1"/>
        <v>49.060777149980929</v>
      </c>
      <c r="P11">
        <f t="shared" si="2"/>
        <v>51.069686184698348</v>
      </c>
      <c r="Q11">
        <f t="shared" si="3"/>
        <v>62.039921884802112</v>
      </c>
      <c r="R11">
        <f t="shared" si="4"/>
        <v>62.705302355548802</v>
      </c>
      <c r="S11">
        <f t="shared" si="5"/>
        <v>61.287734426875062</v>
      </c>
      <c r="T11">
        <f t="shared" si="6"/>
        <v>61.851394123817357</v>
      </c>
    </row>
    <row r="12" spans="1:20" x14ac:dyDescent="0.4">
      <c r="A12" s="5"/>
      <c r="B12">
        <v>12</v>
      </c>
      <c r="C12">
        <v>53.85463843279782</v>
      </c>
      <c r="E12">
        <v>0</v>
      </c>
      <c r="F12">
        <v>0.24042503578218799</v>
      </c>
      <c r="G12">
        <v>1.5421359856389429</v>
      </c>
      <c r="H12">
        <v>7.5490044178881632</v>
      </c>
      <c r="I12">
        <v>14.782550378446778</v>
      </c>
      <c r="J12">
        <v>14.788184048978685</v>
      </c>
      <c r="K12">
        <v>15.85105690817884</v>
      </c>
      <c r="N12">
        <f t="shared" si="0"/>
        <v>53.85463843279782</v>
      </c>
      <c r="O12">
        <f t="shared" si="1"/>
        <v>54.095063468580008</v>
      </c>
      <c r="P12">
        <f t="shared" si="2"/>
        <v>55.396774418436763</v>
      </c>
      <c r="Q12">
        <f t="shared" si="3"/>
        <v>61.403642850685983</v>
      </c>
      <c r="R12">
        <f t="shared" si="4"/>
        <v>68.637188811244599</v>
      </c>
      <c r="S12">
        <f t="shared" si="5"/>
        <v>68.642822481776506</v>
      </c>
      <c r="T12">
        <f t="shared" si="6"/>
        <v>69.705695340976661</v>
      </c>
    </row>
    <row r="13" spans="1:20" x14ac:dyDescent="0.4">
      <c r="A13" s="5"/>
      <c r="B13">
        <v>13</v>
      </c>
      <c r="C13">
        <v>56.46513389777293</v>
      </c>
      <c r="E13">
        <v>0</v>
      </c>
      <c r="F13">
        <v>0.41769556664505103</v>
      </c>
      <c r="G13">
        <v>-0.80978453559620789</v>
      </c>
      <c r="H13">
        <v>3.0818542390151933</v>
      </c>
      <c r="I13">
        <v>17.136514126971363</v>
      </c>
      <c r="J13">
        <v>17.033650994251687</v>
      </c>
      <c r="K13">
        <v>18.769312949375632</v>
      </c>
      <c r="N13">
        <f t="shared" si="0"/>
        <v>56.46513389777293</v>
      </c>
      <c r="O13">
        <f t="shared" si="1"/>
        <v>56.882829464417981</v>
      </c>
      <c r="P13">
        <f t="shared" si="2"/>
        <v>55.655349362176722</v>
      </c>
      <c r="Q13">
        <f t="shared" si="3"/>
        <v>59.546988136788123</v>
      </c>
      <c r="R13">
        <f t="shared" si="4"/>
        <v>73.601648024744293</v>
      </c>
      <c r="S13">
        <f t="shared" si="5"/>
        <v>73.498784892024617</v>
      </c>
      <c r="T13">
        <f t="shared" si="6"/>
        <v>75.234446847148561</v>
      </c>
    </row>
    <row r="14" spans="1:20" x14ac:dyDescent="0.4">
      <c r="A14" s="5"/>
      <c r="B14">
        <v>14</v>
      </c>
      <c r="C14">
        <v>60.997928388150058</v>
      </c>
      <c r="E14">
        <v>0</v>
      </c>
      <c r="F14">
        <v>0.44763617035665959</v>
      </c>
      <c r="G14">
        <v>-1.1149025906276506</v>
      </c>
      <c r="H14">
        <v>2.577693689129795</v>
      </c>
      <c r="I14">
        <v>1.4973032827527746</v>
      </c>
      <c r="J14">
        <v>17.728783374990414</v>
      </c>
      <c r="K14">
        <v>19.830041177454703</v>
      </c>
      <c r="N14">
        <f t="shared" si="0"/>
        <v>60.997928388150058</v>
      </c>
      <c r="O14">
        <f t="shared" si="1"/>
        <v>61.445564558506717</v>
      </c>
      <c r="P14">
        <f t="shared" si="2"/>
        <v>59.883025797522407</v>
      </c>
      <c r="Q14">
        <f t="shared" si="3"/>
        <v>63.575622077279853</v>
      </c>
      <c r="R14">
        <f t="shared" si="4"/>
        <v>62.495231670902832</v>
      </c>
      <c r="S14">
        <f t="shared" si="5"/>
        <v>78.726711763140472</v>
      </c>
      <c r="T14">
        <f t="shared" si="6"/>
        <v>80.827969565604761</v>
      </c>
    </row>
    <row r="15" spans="1:20" x14ac:dyDescent="0.4">
      <c r="A15" s="4"/>
      <c r="N15">
        <f t="shared" si="0"/>
        <v>0</v>
      </c>
      <c r="O15">
        <f t="shared" si="1"/>
        <v>0</v>
      </c>
      <c r="P15">
        <f t="shared" si="2"/>
        <v>0</v>
      </c>
      <c r="Q15">
        <f t="shared" si="3"/>
        <v>0</v>
      </c>
      <c r="R15">
        <f t="shared" si="4"/>
        <v>0</v>
      </c>
      <c r="S15">
        <f t="shared" si="5"/>
        <v>0</v>
      </c>
      <c r="T15">
        <f t="shared" si="6"/>
        <v>0</v>
      </c>
    </row>
    <row r="16" spans="1:20" x14ac:dyDescent="0.4">
      <c r="A16" s="5" t="s">
        <v>16</v>
      </c>
      <c r="B16">
        <v>-6</v>
      </c>
      <c r="C16">
        <v>0</v>
      </c>
      <c r="E16">
        <v>0</v>
      </c>
      <c r="F16">
        <v>-10.193102348486635</v>
      </c>
      <c r="G16">
        <v>-16.793324709528346</v>
      </c>
      <c r="H16">
        <v>-35.070830535611321</v>
      </c>
      <c r="I16">
        <v>-49.533728303068109</v>
      </c>
      <c r="J16">
        <v>-58.351723013645042</v>
      </c>
      <c r="K16">
        <v>-74.009603092409151</v>
      </c>
      <c r="N16">
        <f t="shared" si="0"/>
        <v>0</v>
      </c>
      <c r="O16">
        <f t="shared" si="1"/>
        <v>-10.193102348486635</v>
      </c>
      <c r="P16">
        <f t="shared" si="2"/>
        <v>-16.793324709528346</v>
      </c>
      <c r="Q16">
        <f t="shared" si="3"/>
        <v>-35.070830535611321</v>
      </c>
      <c r="R16">
        <f t="shared" si="4"/>
        <v>-49.533728303068109</v>
      </c>
      <c r="S16">
        <f t="shared" si="5"/>
        <v>-58.351723013645042</v>
      </c>
      <c r="T16">
        <f t="shared" si="6"/>
        <v>-74.009603092409151</v>
      </c>
    </row>
    <row r="17" spans="1:20" x14ac:dyDescent="0.4">
      <c r="A17" s="5"/>
      <c r="B17">
        <v>-4</v>
      </c>
      <c r="C17">
        <v>0</v>
      </c>
      <c r="E17">
        <v>0</v>
      </c>
      <c r="F17">
        <v>-9.9821637467984576</v>
      </c>
      <c r="G17">
        <v>-20.443768308160678</v>
      </c>
      <c r="H17">
        <v>-38.15605292487728</v>
      </c>
      <c r="I17">
        <v>-53.320703251042637</v>
      </c>
      <c r="J17">
        <v>-62.338340586751976</v>
      </c>
      <c r="K17">
        <v>-74.744663242413566</v>
      </c>
      <c r="N17">
        <f t="shared" si="0"/>
        <v>0</v>
      </c>
      <c r="O17">
        <f t="shared" si="1"/>
        <v>-9.9821637467984576</v>
      </c>
      <c r="P17">
        <f t="shared" si="2"/>
        <v>-20.443768308160678</v>
      </c>
      <c r="Q17">
        <f t="shared" si="3"/>
        <v>-38.15605292487728</v>
      </c>
      <c r="R17">
        <f t="shared" si="4"/>
        <v>-53.320703251042637</v>
      </c>
      <c r="S17">
        <f t="shared" si="5"/>
        <v>-62.338340586751976</v>
      </c>
      <c r="T17">
        <f t="shared" si="6"/>
        <v>-74.744663242413566</v>
      </c>
    </row>
    <row r="18" spans="1:20" x14ac:dyDescent="0.4">
      <c r="A18" s="5"/>
      <c r="B18">
        <v>-2</v>
      </c>
      <c r="C18">
        <v>0</v>
      </c>
      <c r="E18">
        <v>0</v>
      </c>
      <c r="F18">
        <v>-10.241247515246251</v>
      </c>
      <c r="G18">
        <v>-20.849483548955067</v>
      </c>
      <c r="H18">
        <v>-39.424511569064556</v>
      </c>
      <c r="I18">
        <v>-54.11026972410319</v>
      </c>
      <c r="J18">
        <v>-61.615700091923635</v>
      </c>
      <c r="K18">
        <v>-74.805886156120536</v>
      </c>
      <c r="N18">
        <f t="shared" si="0"/>
        <v>0</v>
      </c>
      <c r="O18">
        <f t="shared" si="1"/>
        <v>-10.241247515246251</v>
      </c>
      <c r="P18">
        <f t="shared" si="2"/>
        <v>-20.849483548955067</v>
      </c>
      <c r="Q18">
        <f t="shared" si="3"/>
        <v>-39.424511569064556</v>
      </c>
      <c r="R18">
        <f t="shared" si="4"/>
        <v>-54.11026972410319</v>
      </c>
      <c r="S18">
        <f t="shared" si="5"/>
        <v>-61.615700091923635</v>
      </c>
      <c r="T18">
        <f t="shared" si="6"/>
        <v>-74.805886156120536</v>
      </c>
    </row>
    <row r="19" spans="1:20" x14ac:dyDescent="0.4">
      <c r="A19" s="5"/>
      <c r="B19">
        <v>0</v>
      </c>
      <c r="C19">
        <v>0</v>
      </c>
      <c r="E19">
        <v>0</v>
      </c>
      <c r="F19">
        <v>-10.360454485088093</v>
      </c>
      <c r="G19">
        <v>-21.011483413377565</v>
      </c>
      <c r="H19">
        <v>-40.800203526631535</v>
      </c>
      <c r="I19">
        <v>-54.099936141853945</v>
      </c>
      <c r="J19">
        <v>-61.959377299921648</v>
      </c>
      <c r="K19">
        <v>-75.473195134258248</v>
      </c>
      <c r="N19">
        <f t="shared" si="0"/>
        <v>0</v>
      </c>
      <c r="O19">
        <f t="shared" si="1"/>
        <v>-10.360454485088093</v>
      </c>
      <c r="P19">
        <f t="shared" si="2"/>
        <v>-21.011483413377565</v>
      </c>
      <c r="Q19">
        <f t="shared" si="3"/>
        <v>-40.800203526631535</v>
      </c>
      <c r="R19">
        <f t="shared" si="4"/>
        <v>-54.099936141853945</v>
      </c>
      <c r="S19">
        <f t="shared" si="5"/>
        <v>-61.959377299921648</v>
      </c>
      <c r="T19">
        <f t="shared" si="6"/>
        <v>-75.473195134258248</v>
      </c>
    </row>
    <row r="20" spans="1:20" x14ac:dyDescent="0.4">
      <c r="A20" s="5"/>
      <c r="B20">
        <v>2</v>
      </c>
      <c r="C20">
        <v>0</v>
      </c>
      <c r="E20">
        <v>0</v>
      </c>
      <c r="F20">
        <v>-10.468607312670448</v>
      </c>
      <c r="G20">
        <v>-21.161971464291852</v>
      </c>
      <c r="H20">
        <v>-42.32953036419913</v>
      </c>
      <c r="I20">
        <v>-54.10737237084345</v>
      </c>
      <c r="J20">
        <v>-63.36873014520517</v>
      </c>
      <c r="K20">
        <v>-76.399198626283521</v>
      </c>
      <c r="N20">
        <f t="shared" si="0"/>
        <v>0</v>
      </c>
      <c r="O20">
        <f t="shared" si="1"/>
        <v>-10.468607312670448</v>
      </c>
      <c r="P20">
        <f t="shared" si="2"/>
        <v>-21.161971464291852</v>
      </c>
      <c r="Q20">
        <f t="shared" si="3"/>
        <v>-42.32953036419913</v>
      </c>
      <c r="R20">
        <f t="shared" si="4"/>
        <v>-54.10737237084345</v>
      </c>
      <c r="S20">
        <f t="shared" si="5"/>
        <v>-63.36873014520517</v>
      </c>
      <c r="T20">
        <f t="shared" si="6"/>
        <v>-76.399198626283521</v>
      </c>
    </row>
    <row r="21" spans="1:20" x14ac:dyDescent="0.4">
      <c r="A21" s="5"/>
      <c r="B21">
        <v>4</v>
      </c>
      <c r="C21">
        <v>0</v>
      </c>
      <c r="E21">
        <v>0</v>
      </c>
      <c r="F21">
        <v>-10.675782712809621</v>
      </c>
      <c r="G21">
        <v>-21.315195144421942</v>
      </c>
      <c r="H21">
        <v>-42.15073030561215</v>
      </c>
      <c r="I21">
        <v>-53.077356684564315</v>
      </c>
      <c r="J21">
        <v>-62.37070623575508</v>
      </c>
      <c r="K21">
        <v>-76.390506569264886</v>
      </c>
      <c r="N21">
        <f t="shared" si="0"/>
        <v>0</v>
      </c>
      <c r="O21">
        <f t="shared" si="1"/>
        <v>-10.675782712809621</v>
      </c>
      <c r="P21">
        <f t="shared" si="2"/>
        <v>-21.315195144421942</v>
      </c>
      <c r="Q21">
        <f t="shared" si="3"/>
        <v>-42.15073030561215</v>
      </c>
      <c r="R21">
        <f t="shared" si="4"/>
        <v>-53.077356684564315</v>
      </c>
      <c r="S21">
        <f t="shared" si="5"/>
        <v>-62.37070623575508</v>
      </c>
      <c r="T21">
        <f t="shared" si="6"/>
        <v>-76.390506569264886</v>
      </c>
    </row>
    <row r="22" spans="1:20" x14ac:dyDescent="0.4">
      <c r="A22" s="5"/>
      <c r="B22">
        <v>6</v>
      </c>
      <c r="C22">
        <v>0</v>
      </c>
      <c r="E22">
        <v>0</v>
      </c>
      <c r="F22">
        <v>-11.038009468890493</v>
      </c>
      <c r="G22">
        <v>-21.706356786699523</v>
      </c>
      <c r="H22">
        <v>-42.083215060168804</v>
      </c>
      <c r="I22">
        <v>-53.38195159760744</v>
      </c>
      <c r="J22">
        <v>-65.651584669949415</v>
      </c>
      <c r="K22">
        <v>-78.208328352224044</v>
      </c>
      <c r="N22">
        <f t="shared" si="0"/>
        <v>0</v>
      </c>
      <c r="O22">
        <f t="shared" si="1"/>
        <v>-11.038009468890493</v>
      </c>
      <c r="P22">
        <f t="shared" si="2"/>
        <v>-21.706356786699523</v>
      </c>
      <c r="Q22">
        <f t="shared" si="3"/>
        <v>-42.083215060168804</v>
      </c>
      <c r="R22">
        <f t="shared" si="4"/>
        <v>-53.38195159760744</v>
      </c>
      <c r="S22">
        <f t="shared" si="5"/>
        <v>-65.651584669949415</v>
      </c>
      <c r="T22">
        <f t="shared" si="6"/>
        <v>-78.208328352224044</v>
      </c>
    </row>
    <row r="23" spans="1:20" x14ac:dyDescent="0.4">
      <c r="A23" s="5"/>
      <c r="B23">
        <v>8</v>
      </c>
      <c r="C23">
        <v>0</v>
      </c>
      <c r="E23">
        <v>0</v>
      </c>
      <c r="F23">
        <v>-11.405811988783906</v>
      </c>
      <c r="G23">
        <v>-22.106243586487267</v>
      </c>
      <c r="H23">
        <v>-42.454347566861721</v>
      </c>
      <c r="I23">
        <v>-54.29590541293539</v>
      </c>
      <c r="J23">
        <v>-67.480600800440044</v>
      </c>
      <c r="K23">
        <v>-79.088934121897523</v>
      </c>
      <c r="N23">
        <f t="shared" si="0"/>
        <v>0</v>
      </c>
      <c r="O23">
        <f t="shared" si="1"/>
        <v>-11.405811988783906</v>
      </c>
      <c r="P23">
        <f t="shared" si="2"/>
        <v>-22.106243586487267</v>
      </c>
      <c r="Q23">
        <f t="shared" si="3"/>
        <v>-42.454347566861721</v>
      </c>
      <c r="R23">
        <f t="shared" si="4"/>
        <v>-54.29590541293539</v>
      </c>
      <c r="S23">
        <f t="shared" si="5"/>
        <v>-67.480600800440044</v>
      </c>
      <c r="T23">
        <f t="shared" si="6"/>
        <v>-79.088934121897523</v>
      </c>
    </row>
    <row r="24" spans="1:20" x14ac:dyDescent="0.4">
      <c r="A24" s="5"/>
      <c r="B24">
        <v>10</v>
      </c>
      <c r="C24">
        <v>0</v>
      </c>
      <c r="E24">
        <v>0</v>
      </c>
      <c r="F24">
        <v>-10.767474041112168</v>
      </c>
      <c r="G24">
        <v>-18.519805813400165</v>
      </c>
      <c r="H24">
        <v>-38.245183004010954</v>
      </c>
      <c r="I24">
        <v>-52.967895012670155</v>
      </c>
      <c r="J24">
        <v>-64.105932682403846</v>
      </c>
      <c r="K24">
        <v>-75.745255179489874</v>
      </c>
      <c r="N24">
        <f t="shared" si="0"/>
        <v>0</v>
      </c>
      <c r="O24">
        <f t="shared" si="1"/>
        <v>-10.767474041112168</v>
      </c>
      <c r="P24">
        <f t="shared" si="2"/>
        <v>-18.519805813400165</v>
      </c>
      <c r="Q24">
        <f t="shared" si="3"/>
        <v>-38.245183004010954</v>
      </c>
      <c r="R24">
        <f t="shared" si="4"/>
        <v>-52.967895012670155</v>
      </c>
      <c r="S24">
        <f t="shared" si="5"/>
        <v>-64.105932682403846</v>
      </c>
      <c r="T24">
        <f t="shared" si="6"/>
        <v>-75.745255179489874</v>
      </c>
    </row>
    <row r="25" spans="1:20" x14ac:dyDescent="0.4">
      <c r="A25" s="5"/>
      <c r="B25">
        <v>11</v>
      </c>
      <c r="C25">
        <v>0</v>
      </c>
      <c r="E25">
        <v>0</v>
      </c>
      <c r="F25">
        <v>-12.270153869715273</v>
      </c>
      <c r="G25">
        <v>-19.825002546046044</v>
      </c>
      <c r="H25">
        <v>-36.934970659537676</v>
      </c>
      <c r="I25">
        <v>-51.811634907423489</v>
      </c>
      <c r="J25">
        <v>-61.782979524609615</v>
      </c>
      <c r="K25">
        <v>-73.773693566653208</v>
      </c>
      <c r="N25">
        <f t="shared" si="0"/>
        <v>0</v>
      </c>
      <c r="O25">
        <f t="shared" si="1"/>
        <v>-12.270153869715273</v>
      </c>
      <c r="P25">
        <f t="shared" si="2"/>
        <v>-19.825002546046044</v>
      </c>
      <c r="Q25">
        <f t="shared" si="3"/>
        <v>-36.934970659537676</v>
      </c>
      <c r="R25">
        <f t="shared" si="4"/>
        <v>-51.811634907423489</v>
      </c>
      <c r="S25">
        <f t="shared" si="5"/>
        <v>-61.782979524609615</v>
      </c>
      <c r="T25">
        <f t="shared" si="6"/>
        <v>-73.773693566653208</v>
      </c>
    </row>
    <row r="26" spans="1:20" x14ac:dyDescent="0.4">
      <c r="A26" s="5"/>
      <c r="B26">
        <v>12</v>
      </c>
      <c r="C26">
        <v>0</v>
      </c>
      <c r="E26">
        <v>0</v>
      </c>
      <c r="F26">
        <v>-12.448604761545377</v>
      </c>
      <c r="G26">
        <v>-20.326554200975867</v>
      </c>
      <c r="H26">
        <v>-37.565999920561239</v>
      </c>
      <c r="I26">
        <v>-50.060907410000453</v>
      </c>
      <c r="J26">
        <v>-61.416204570319557</v>
      </c>
      <c r="K26">
        <v>-72.388524946326015</v>
      </c>
      <c r="N26">
        <f t="shared" si="0"/>
        <v>0</v>
      </c>
      <c r="O26">
        <f t="shared" si="1"/>
        <v>-12.448604761545377</v>
      </c>
      <c r="P26">
        <f t="shared" si="2"/>
        <v>-20.326554200975867</v>
      </c>
      <c r="Q26">
        <f t="shared" si="3"/>
        <v>-37.565999920561239</v>
      </c>
      <c r="R26">
        <f t="shared" si="4"/>
        <v>-50.060907410000453</v>
      </c>
      <c r="S26">
        <f t="shared" si="5"/>
        <v>-61.416204570319557</v>
      </c>
      <c r="T26">
        <f t="shared" si="6"/>
        <v>-72.388524946326015</v>
      </c>
    </row>
    <row r="27" spans="1:20" x14ac:dyDescent="0.4">
      <c r="A27" s="5"/>
      <c r="B27">
        <v>13</v>
      </c>
      <c r="C27">
        <v>0</v>
      </c>
      <c r="E27">
        <v>0</v>
      </c>
      <c r="F27">
        <v>-12.521697512417505</v>
      </c>
      <c r="G27">
        <v>-20.778939030775202</v>
      </c>
      <c r="H27">
        <v>-38.627210553530183</v>
      </c>
      <c r="I27">
        <v>-47.449479283753156</v>
      </c>
      <c r="J27">
        <v>-63.407727852272444</v>
      </c>
      <c r="K27">
        <v>-73.748145333375433</v>
      </c>
      <c r="N27">
        <f t="shared" si="0"/>
        <v>0</v>
      </c>
      <c r="O27">
        <f t="shared" si="1"/>
        <v>-12.521697512417505</v>
      </c>
      <c r="P27">
        <f t="shared" si="2"/>
        <v>-20.778939030775202</v>
      </c>
      <c r="Q27">
        <f t="shared" si="3"/>
        <v>-38.627210553530183</v>
      </c>
      <c r="R27">
        <f t="shared" si="4"/>
        <v>-47.449479283753156</v>
      </c>
      <c r="S27">
        <f t="shared" si="5"/>
        <v>-63.407727852272444</v>
      </c>
      <c r="T27">
        <f t="shared" si="6"/>
        <v>-73.748145333375433</v>
      </c>
    </row>
    <row r="28" spans="1:20" x14ac:dyDescent="0.4">
      <c r="A28" s="5"/>
      <c r="B28">
        <v>14</v>
      </c>
      <c r="C28">
        <v>0</v>
      </c>
      <c r="E28">
        <v>0</v>
      </c>
      <c r="F28">
        <v>-12.588601232793614</v>
      </c>
      <c r="G28">
        <v>-20.563988460167202</v>
      </c>
      <c r="H28">
        <v>-38.319593763745303</v>
      </c>
      <c r="I28">
        <v>-49.950950291087786</v>
      </c>
      <c r="J28">
        <v>-63.978922870597501</v>
      </c>
      <c r="K28">
        <v>-73.82600571310914</v>
      </c>
      <c r="N28">
        <f t="shared" si="0"/>
        <v>0</v>
      </c>
      <c r="O28">
        <f t="shared" si="1"/>
        <v>-12.588601232793614</v>
      </c>
      <c r="P28">
        <f t="shared" si="2"/>
        <v>-20.563988460167202</v>
      </c>
      <c r="Q28">
        <f t="shared" si="3"/>
        <v>-38.319593763745303</v>
      </c>
      <c r="R28">
        <f t="shared" si="4"/>
        <v>-49.950950291087786</v>
      </c>
      <c r="S28">
        <f t="shared" si="5"/>
        <v>-63.978922870597501</v>
      </c>
      <c r="T28">
        <f t="shared" si="6"/>
        <v>-73.82600571310914</v>
      </c>
    </row>
    <row r="29" spans="1:20" x14ac:dyDescent="0.4">
      <c r="A29" s="4"/>
      <c r="N29">
        <f t="shared" si="0"/>
        <v>0</v>
      </c>
      <c r="O29">
        <f t="shared" si="1"/>
        <v>0</v>
      </c>
      <c r="P29">
        <f t="shared" si="2"/>
        <v>0</v>
      </c>
      <c r="Q29">
        <f t="shared" si="3"/>
        <v>0</v>
      </c>
      <c r="R29">
        <f t="shared" si="4"/>
        <v>0</v>
      </c>
      <c r="S29">
        <f t="shared" si="5"/>
        <v>0</v>
      </c>
      <c r="T29">
        <f t="shared" si="6"/>
        <v>0</v>
      </c>
    </row>
    <row r="30" spans="1:20" x14ac:dyDescent="0.4">
      <c r="A30" s="5" t="s">
        <v>17</v>
      </c>
      <c r="B30">
        <v>-6</v>
      </c>
      <c r="C30">
        <v>39.185847287502831</v>
      </c>
      <c r="E30">
        <v>0</v>
      </c>
      <c r="F30">
        <v>-1.3187144078272581</v>
      </c>
      <c r="G30">
        <v>-1.1436286091645513</v>
      </c>
      <c r="H30">
        <v>0.37133696590201737</v>
      </c>
      <c r="I30">
        <v>3.9127513635106155</v>
      </c>
      <c r="J30">
        <v>9.2300142688223019</v>
      </c>
      <c r="K30">
        <v>5.4865519937738512</v>
      </c>
      <c r="N30">
        <f t="shared" si="0"/>
        <v>39.185847287502831</v>
      </c>
      <c r="O30">
        <f t="shared" si="1"/>
        <v>37.867132879675573</v>
      </c>
      <c r="P30">
        <f t="shared" si="2"/>
        <v>38.04221867833828</v>
      </c>
      <c r="Q30">
        <f t="shared" si="3"/>
        <v>39.557184253404849</v>
      </c>
      <c r="R30">
        <f t="shared" si="4"/>
        <v>43.098598651013447</v>
      </c>
      <c r="S30">
        <f t="shared" si="5"/>
        <v>48.415861556325133</v>
      </c>
      <c r="T30">
        <f t="shared" si="6"/>
        <v>44.672399281276682</v>
      </c>
    </row>
    <row r="31" spans="1:20" x14ac:dyDescent="0.4">
      <c r="A31" s="5"/>
      <c r="B31">
        <v>-4</v>
      </c>
      <c r="C31">
        <v>-33.546052197290912</v>
      </c>
      <c r="E31">
        <v>0</v>
      </c>
      <c r="F31">
        <v>0.24671881365970449</v>
      </c>
      <c r="G31">
        <v>0.71821124168221928</v>
      </c>
      <c r="H31">
        <v>3.867522002779431</v>
      </c>
      <c r="I31">
        <v>1.0577078996657434</v>
      </c>
      <c r="J31">
        <v>6.0478396664888407</v>
      </c>
      <c r="K31">
        <v>7.961572937280831</v>
      </c>
      <c r="N31">
        <f t="shared" si="0"/>
        <v>-33.546052197290912</v>
      </c>
      <c r="O31">
        <f t="shared" si="1"/>
        <v>-33.299333383631208</v>
      </c>
      <c r="P31">
        <f t="shared" si="2"/>
        <v>-32.827840955608693</v>
      </c>
      <c r="Q31">
        <f t="shared" si="3"/>
        <v>-29.678530194511481</v>
      </c>
      <c r="R31">
        <f t="shared" si="4"/>
        <v>-32.488344297625169</v>
      </c>
      <c r="S31">
        <f t="shared" si="5"/>
        <v>-27.498212530802071</v>
      </c>
      <c r="T31">
        <f t="shared" si="6"/>
        <v>-25.584479260010081</v>
      </c>
    </row>
    <row r="32" spans="1:20" x14ac:dyDescent="0.4">
      <c r="A32" s="5"/>
      <c r="B32">
        <v>-2</v>
      </c>
      <c r="C32">
        <v>-122.29836371753611</v>
      </c>
      <c r="E32">
        <v>0</v>
      </c>
      <c r="F32">
        <v>0.28503186683001047</v>
      </c>
      <c r="G32">
        <v>1.154235486277301</v>
      </c>
      <c r="H32">
        <v>3.8155318730473056</v>
      </c>
      <c r="I32">
        <v>8.7103680304851991</v>
      </c>
      <c r="J32">
        <v>10.373448769665202</v>
      </c>
      <c r="K32">
        <v>15.310900739523007</v>
      </c>
      <c r="N32">
        <f t="shared" si="0"/>
        <v>-122.29836371753611</v>
      </c>
      <c r="O32">
        <f t="shared" si="1"/>
        <v>-122.01333185070609</v>
      </c>
      <c r="P32">
        <f t="shared" si="2"/>
        <v>-121.1441282312588</v>
      </c>
      <c r="Q32">
        <f t="shared" si="3"/>
        <v>-118.4828318444888</v>
      </c>
      <c r="R32">
        <f t="shared" si="4"/>
        <v>-113.58799568705091</v>
      </c>
      <c r="S32">
        <f t="shared" si="5"/>
        <v>-111.9249149478709</v>
      </c>
      <c r="T32">
        <f t="shared" si="6"/>
        <v>-106.9874629780131</v>
      </c>
    </row>
    <row r="33" spans="1:20" x14ac:dyDescent="0.4">
      <c r="A33" s="5"/>
      <c r="B33">
        <v>0</v>
      </c>
      <c r="C33">
        <v>-209.00878772022941</v>
      </c>
      <c r="E33">
        <v>0</v>
      </c>
      <c r="F33">
        <v>0.32741349877639436</v>
      </c>
      <c r="G33">
        <v>1.3123318773141932</v>
      </c>
      <c r="H33">
        <v>4.9893808478792039</v>
      </c>
      <c r="I33">
        <v>11.264378421285699</v>
      </c>
      <c r="J33">
        <v>15.678330972778099</v>
      </c>
      <c r="K33">
        <v>23.616151005428407</v>
      </c>
      <c r="N33">
        <f t="shared" si="0"/>
        <v>-209.00878772022941</v>
      </c>
      <c r="O33">
        <f t="shared" si="1"/>
        <v>-208.68137422145301</v>
      </c>
      <c r="P33">
        <f t="shared" si="2"/>
        <v>-207.69645584291521</v>
      </c>
      <c r="Q33">
        <f t="shared" si="3"/>
        <v>-204.0194068723502</v>
      </c>
      <c r="R33">
        <f t="shared" si="4"/>
        <v>-197.74440929894371</v>
      </c>
      <c r="S33">
        <f t="shared" si="5"/>
        <v>-193.33045674745131</v>
      </c>
      <c r="T33">
        <f t="shared" si="6"/>
        <v>-185.392636714801</v>
      </c>
    </row>
    <row r="34" spans="1:20" x14ac:dyDescent="0.4">
      <c r="A34" s="5"/>
      <c r="B34">
        <v>2</v>
      </c>
      <c r="C34">
        <v>-293.68587342242893</v>
      </c>
      <c r="E34">
        <v>0</v>
      </c>
      <c r="F34">
        <v>0.37157353160171169</v>
      </c>
      <c r="G34">
        <v>1.488909786343811</v>
      </c>
      <c r="H34">
        <v>6.0270712859171454</v>
      </c>
      <c r="I34">
        <v>13.751169835331552</v>
      </c>
      <c r="J34">
        <v>21.140466432712401</v>
      </c>
      <c r="K34">
        <v>32.393815729442338</v>
      </c>
      <c r="N34">
        <f t="shared" ref="N34:N65" si="7">$C34+E34</f>
        <v>-293.68587342242893</v>
      </c>
      <c r="O34">
        <f t="shared" ref="O34:O65" si="8">$C34+F34</f>
        <v>-293.31429989082721</v>
      </c>
      <c r="P34">
        <f t="shared" ref="P34:P65" si="9">$C34+G34</f>
        <v>-292.19696363608512</v>
      </c>
      <c r="Q34">
        <f t="shared" ref="Q34:Q65" si="10">$C34+H34</f>
        <v>-287.65880213651178</v>
      </c>
      <c r="R34">
        <f t="shared" ref="R34:R65" si="11">$C34+I34</f>
        <v>-279.93470358709737</v>
      </c>
      <c r="S34">
        <f t="shared" ref="S34:S65" si="12">$C34+J34</f>
        <v>-272.54540698971653</v>
      </c>
      <c r="T34">
        <f t="shared" ref="T34:T65" si="13">$C34+K34</f>
        <v>-261.29205769298659</v>
      </c>
    </row>
    <row r="35" spans="1:20" x14ac:dyDescent="0.4">
      <c r="A35" s="5"/>
      <c r="B35">
        <v>4</v>
      </c>
      <c r="C35">
        <v>-374.14543098459421</v>
      </c>
      <c r="E35">
        <v>0</v>
      </c>
      <c r="F35">
        <v>0.54716110965182452</v>
      </c>
      <c r="G35">
        <v>2.1593012687002897</v>
      </c>
      <c r="H35">
        <v>8.3388003227470335</v>
      </c>
      <c r="I35">
        <v>18.375820241443989</v>
      </c>
      <c r="J35">
        <v>30.399788981304823</v>
      </c>
      <c r="K35">
        <v>48.533088743397229</v>
      </c>
      <c r="N35">
        <f t="shared" si="7"/>
        <v>-374.14543098459421</v>
      </c>
      <c r="O35">
        <f t="shared" si="8"/>
        <v>-373.59826987494239</v>
      </c>
      <c r="P35">
        <f t="shared" si="9"/>
        <v>-371.98612971589392</v>
      </c>
      <c r="Q35">
        <f t="shared" si="10"/>
        <v>-365.80663066184718</v>
      </c>
      <c r="R35">
        <f t="shared" si="11"/>
        <v>-355.76961074315022</v>
      </c>
      <c r="S35">
        <f t="shared" si="12"/>
        <v>-343.74564200328939</v>
      </c>
      <c r="T35">
        <f t="shared" si="13"/>
        <v>-325.61234224119698</v>
      </c>
    </row>
    <row r="36" spans="1:20" x14ac:dyDescent="0.4">
      <c r="A36" s="5"/>
      <c r="B36">
        <v>6</v>
      </c>
      <c r="C36">
        <v>-449.60558326208007</v>
      </c>
      <c r="E36">
        <v>0</v>
      </c>
      <c r="F36">
        <v>0.87142441624860112</v>
      </c>
      <c r="G36">
        <v>3.0643500872178606</v>
      </c>
      <c r="H36">
        <v>12.063012677814982</v>
      </c>
      <c r="I36">
        <v>29.310830318108174</v>
      </c>
      <c r="J36">
        <v>50.881781307932897</v>
      </c>
      <c r="K36">
        <v>79.386303327970666</v>
      </c>
      <c r="N36">
        <f t="shared" si="7"/>
        <v>-449.60558326208007</v>
      </c>
      <c r="O36">
        <f t="shared" si="8"/>
        <v>-448.73415884583147</v>
      </c>
      <c r="P36">
        <f t="shared" si="9"/>
        <v>-446.54123317486221</v>
      </c>
      <c r="Q36">
        <f t="shared" si="10"/>
        <v>-437.54257058426509</v>
      </c>
      <c r="R36">
        <f t="shared" si="11"/>
        <v>-420.2947529439719</v>
      </c>
      <c r="S36">
        <f t="shared" si="12"/>
        <v>-398.72380195414718</v>
      </c>
      <c r="T36">
        <f t="shared" si="13"/>
        <v>-370.21927993410941</v>
      </c>
    </row>
    <row r="37" spans="1:20" x14ac:dyDescent="0.4">
      <c r="A37" s="5"/>
      <c r="B37">
        <v>8</v>
      </c>
      <c r="C37">
        <v>-518.46462367301683</v>
      </c>
      <c r="E37">
        <v>0</v>
      </c>
      <c r="F37">
        <v>1.0002560968202943</v>
      </c>
      <c r="G37">
        <v>4.3926464575114323</v>
      </c>
      <c r="H37">
        <v>15.706157883943831</v>
      </c>
      <c r="I37">
        <v>35.83563575902815</v>
      </c>
      <c r="J37">
        <v>59.711305600020751</v>
      </c>
      <c r="K37">
        <v>89.957270048221915</v>
      </c>
      <c r="N37">
        <f t="shared" si="7"/>
        <v>-518.46462367301683</v>
      </c>
      <c r="O37">
        <f t="shared" si="8"/>
        <v>-517.46436757619654</v>
      </c>
      <c r="P37">
        <f t="shared" si="9"/>
        <v>-514.0719772155054</v>
      </c>
      <c r="Q37">
        <f t="shared" si="10"/>
        <v>-502.758465789073</v>
      </c>
      <c r="R37">
        <f t="shared" si="11"/>
        <v>-482.62898791398868</v>
      </c>
      <c r="S37">
        <f t="shared" si="12"/>
        <v>-458.75331807299608</v>
      </c>
      <c r="T37">
        <f t="shared" si="13"/>
        <v>-428.50735362479492</v>
      </c>
    </row>
    <row r="38" spans="1:20" x14ac:dyDescent="0.4">
      <c r="A38" s="5"/>
      <c r="B38">
        <v>10</v>
      </c>
      <c r="C38">
        <v>-525.41145439549769</v>
      </c>
      <c r="E38">
        <v>0</v>
      </c>
      <c r="F38">
        <v>-19.287156461491804</v>
      </c>
      <c r="G38">
        <v>-20.563410949479021</v>
      </c>
      <c r="H38">
        <v>-18.895724516030555</v>
      </c>
      <c r="I38">
        <v>-9.3210132220010564</v>
      </c>
      <c r="J38">
        <v>7.3344321134655956</v>
      </c>
      <c r="K38">
        <v>26.928931792454705</v>
      </c>
      <c r="N38">
        <f t="shared" si="7"/>
        <v>-525.41145439549769</v>
      </c>
      <c r="O38">
        <f t="shared" si="8"/>
        <v>-544.69861085698949</v>
      </c>
      <c r="P38">
        <f t="shared" si="9"/>
        <v>-545.97486534497671</v>
      </c>
      <c r="Q38">
        <f t="shared" si="10"/>
        <v>-544.30717891152824</v>
      </c>
      <c r="R38">
        <f t="shared" si="11"/>
        <v>-534.73246761749874</v>
      </c>
      <c r="S38">
        <f t="shared" si="12"/>
        <v>-518.07702228203209</v>
      </c>
      <c r="T38">
        <f t="shared" si="13"/>
        <v>-498.48252260304298</v>
      </c>
    </row>
    <row r="39" spans="1:20" x14ac:dyDescent="0.4">
      <c r="A39" s="5"/>
      <c r="B39">
        <v>11</v>
      </c>
      <c r="C39">
        <v>-537.17747088678777</v>
      </c>
      <c r="E39">
        <v>0</v>
      </c>
      <c r="F39">
        <v>11.47566693846386</v>
      </c>
      <c r="G39">
        <v>7.5469961661605112</v>
      </c>
      <c r="H39">
        <v>-29.691599105720343</v>
      </c>
      <c r="I39">
        <v>-22.706119072704951</v>
      </c>
      <c r="J39">
        <v>-28.625228219808264</v>
      </c>
      <c r="K39">
        <v>-13.793953145160458</v>
      </c>
      <c r="N39">
        <f t="shared" si="7"/>
        <v>-537.17747088678777</v>
      </c>
      <c r="O39">
        <f t="shared" si="8"/>
        <v>-525.70180394832391</v>
      </c>
      <c r="P39">
        <f t="shared" si="9"/>
        <v>-529.63047472062726</v>
      </c>
      <c r="Q39">
        <f t="shared" si="10"/>
        <v>-566.86906999250812</v>
      </c>
      <c r="R39">
        <f t="shared" si="11"/>
        <v>-559.88358995949272</v>
      </c>
      <c r="S39">
        <f t="shared" si="12"/>
        <v>-565.80269910659604</v>
      </c>
      <c r="T39">
        <f t="shared" si="13"/>
        <v>-550.97142403194823</v>
      </c>
    </row>
    <row r="40" spans="1:20" x14ac:dyDescent="0.4">
      <c r="A40" s="5"/>
      <c r="B40">
        <v>12</v>
      </c>
      <c r="C40">
        <v>-539.98545390035599</v>
      </c>
      <c r="E40">
        <v>0</v>
      </c>
      <c r="F40">
        <v>0.76692181479393184</v>
      </c>
      <c r="G40">
        <v>7.2828949059839942E-3</v>
      </c>
      <c r="H40">
        <v>-9.3317732241537215</v>
      </c>
      <c r="I40">
        <v>-46.322677059243915</v>
      </c>
      <c r="J40">
        <v>-45.561306825478255</v>
      </c>
      <c r="K40">
        <v>-33.617699038552814</v>
      </c>
      <c r="N40">
        <f t="shared" si="7"/>
        <v>-539.98545390035599</v>
      </c>
      <c r="O40">
        <f t="shared" si="8"/>
        <v>-539.21853208556206</v>
      </c>
      <c r="P40">
        <f t="shared" si="9"/>
        <v>-539.97817100545001</v>
      </c>
      <c r="Q40">
        <f t="shared" si="10"/>
        <v>-549.31722712450971</v>
      </c>
      <c r="R40">
        <f t="shared" si="11"/>
        <v>-586.30813095959991</v>
      </c>
      <c r="S40">
        <f t="shared" si="12"/>
        <v>-585.54676072583425</v>
      </c>
      <c r="T40">
        <f t="shared" si="13"/>
        <v>-573.60315293890881</v>
      </c>
    </row>
    <row r="41" spans="1:20" x14ac:dyDescent="0.4">
      <c r="A41" s="5"/>
      <c r="B41">
        <v>13</v>
      </c>
      <c r="C41">
        <v>-545.88007097806064</v>
      </c>
      <c r="E41">
        <v>0</v>
      </c>
      <c r="F41">
        <v>0.21495928021352029</v>
      </c>
      <c r="G41">
        <v>7.2851016156998867</v>
      </c>
      <c r="H41">
        <v>6.0648734501974104</v>
      </c>
      <c r="I41">
        <v>-49.08810755619254</v>
      </c>
      <c r="J41">
        <v>-44.422234358931291</v>
      </c>
      <c r="K41">
        <v>-41.265869045427166</v>
      </c>
      <c r="N41">
        <f t="shared" si="7"/>
        <v>-545.88007097806064</v>
      </c>
      <c r="O41">
        <f t="shared" si="8"/>
        <v>-545.66511169784712</v>
      </c>
      <c r="P41">
        <f t="shared" si="9"/>
        <v>-538.59496936236076</v>
      </c>
      <c r="Q41">
        <f t="shared" si="10"/>
        <v>-539.81519752786323</v>
      </c>
      <c r="R41">
        <f t="shared" si="11"/>
        <v>-594.96817853425318</v>
      </c>
      <c r="S41">
        <f t="shared" si="12"/>
        <v>-590.30230533699194</v>
      </c>
      <c r="T41">
        <f t="shared" si="13"/>
        <v>-587.14594002348781</v>
      </c>
    </row>
    <row r="42" spans="1:20" x14ac:dyDescent="0.4">
      <c r="A42" s="5"/>
      <c r="B42">
        <v>14</v>
      </c>
      <c r="C42">
        <v>-554.25334026865812</v>
      </c>
      <c r="E42">
        <v>0</v>
      </c>
      <c r="F42">
        <v>0.22635108067015608</v>
      </c>
      <c r="G42">
        <v>8.1410093163324291</v>
      </c>
      <c r="H42">
        <v>8.0743083141481975</v>
      </c>
      <c r="I42">
        <v>13.335485089771964</v>
      </c>
      <c r="J42">
        <v>-44.418748152865078</v>
      </c>
      <c r="K42">
        <v>-42.842893784566058</v>
      </c>
      <c r="N42">
        <f t="shared" si="7"/>
        <v>-554.25334026865812</v>
      </c>
      <c r="O42">
        <f t="shared" si="8"/>
        <v>-554.02698918798797</v>
      </c>
      <c r="P42">
        <f t="shared" si="9"/>
        <v>-546.11233095232569</v>
      </c>
      <c r="Q42">
        <f t="shared" si="10"/>
        <v>-546.17903195450992</v>
      </c>
      <c r="R42">
        <f t="shared" si="11"/>
        <v>-540.91785517888616</v>
      </c>
      <c r="S42">
        <f t="shared" si="12"/>
        <v>-598.6720884215232</v>
      </c>
      <c r="T42">
        <f t="shared" si="13"/>
        <v>-597.09623405322418</v>
      </c>
    </row>
    <row r="43" spans="1:20" x14ac:dyDescent="0.4">
      <c r="A43" s="4"/>
      <c r="N43">
        <f t="shared" si="7"/>
        <v>0</v>
      </c>
      <c r="O43">
        <f t="shared" si="8"/>
        <v>0</v>
      </c>
      <c r="P43">
        <f t="shared" si="9"/>
        <v>0</v>
      </c>
      <c r="Q43">
        <f t="shared" si="10"/>
        <v>0</v>
      </c>
      <c r="R43">
        <f t="shared" si="11"/>
        <v>0</v>
      </c>
      <c r="S43">
        <f t="shared" si="12"/>
        <v>0</v>
      </c>
      <c r="T43">
        <f t="shared" si="13"/>
        <v>0</v>
      </c>
    </row>
    <row r="44" spans="1:20" x14ac:dyDescent="0.4">
      <c r="A44" s="5" t="s">
        <v>18</v>
      </c>
      <c r="B44">
        <v>-6</v>
      </c>
      <c r="C44">
        <v>0</v>
      </c>
      <c r="E44">
        <v>0</v>
      </c>
      <c r="F44">
        <v>-5.0627619867752607</v>
      </c>
      <c r="G44">
        <v>-5.059480601926813</v>
      </c>
      <c r="H44">
        <v>-12.465506853336734</v>
      </c>
      <c r="I44">
        <v>-14.920397158936854</v>
      </c>
      <c r="J44">
        <v>-12.555419762209814</v>
      </c>
      <c r="K44">
        <v>-12.658067601273803</v>
      </c>
      <c r="N44">
        <f t="shared" si="7"/>
        <v>0</v>
      </c>
      <c r="O44">
        <f t="shared" si="8"/>
        <v>-5.0627619867752607</v>
      </c>
      <c r="P44">
        <f t="shared" si="9"/>
        <v>-5.059480601926813</v>
      </c>
      <c r="Q44">
        <f t="shared" si="10"/>
        <v>-12.465506853336734</v>
      </c>
      <c r="R44">
        <f t="shared" si="11"/>
        <v>-14.920397158936854</v>
      </c>
      <c r="S44">
        <f t="shared" si="12"/>
        <v>-12.555419762209814</v>
      </c>
      <c r="T44">
        <f t="shared" si="13"/>
        <v>-12.658067601273803</v>
      </c>
    </row>
    <row r="45" spans="1:20" x14ac:dyDescent="0.4">
      <c r="A45" s="5"/>
      <c r="B45">
        <v>-4</v>
      </c>
      <c r="C45">
        <v>0</v>
      </c>
      <c r="E45">
        <v>0</v>
      </c>
      <c r="F45">
        <v>-5.7270473096669221</v>
      </c>
      <c r="G45">
        <v>-11.344107659925772</v>
      </c>
      <c r="H45">
        <v>-19.61829909203016</v>
      </c>
      <c r="I45">
        <v>-21.99584623458674</v>
      </c>
      <c r="J45">
        <v>-23.81874446999684</v>
      </c>
      <c r="K45">
        <v>-25.710618730685322</v>
      </c>
      <c r="N45">
        <f t="shared" si="7"/>
        <v>0</v>
      </c>
      <c r="O45">
        <f t="shared" si="8"/>
        <v>-5.7270473096669221</v>
      </c>
      <c r="P45">
        <f t="shared" si="9"/>
        <v>-11.344107659925772</v>
      </c>
      <c r="Q45">
        <f t="shared" si="10"/>
        <v>-19.61829909203016</v>
      </c>
      <c r="R45">
        <f t="shared" si="11"/>
        <v>-21.99584623458674</v>
      </c>
      <c r="S45">
        <f t="shared" si="12"/>
        <v>-23.81874446999684</v>
      </c>
      <c r="T45">
        <f t="shared" si="13"/>
        <v>-25.710618730685322</v>
      </c>
    </row>
    <row r="46" spans="1:20" x14ac:dyDescent="0.4">
      <c r="A46" s="5"/>
      <c r="B46">
        <v>-2</v>
      </c>
      <c r="C46">
        <v>0</v>
      </c>
      <c r="E46">
        <v>0</v>
      </c>
      <c r="F46">
        <v>-5.6890056904891191</v>
      </c>
      <c r="G46">
        <v>-11.371866293980228</v>
      </c>
      <c r="H46">
        <v>-19.333742466019498</v>
      </c>
      <c r="I46">
        <v>-23.375708093847258</v>
      </c>
      <c r="J46">
        <v>-21.65831077491827</v>
      </c>
      <c r="K46">
        <v>-23.743878646528678</v>
      </c>
      <c r="N46">
        <f t="shared" si="7"/>
        <v>0</v>
      </c>
      <c r="O46">
        <f t="shared" si="8"/>
        <v>-5.6890056904891191</v>
      </c>
      <c r="P46">
        <f t="shared" si="9"/>
        <v>-11.371866293980228</v>
      </c>
      <c r="Q46">
        <f t="shared" si="10"/>
        <v>-19.333742466019498</v>
      </c>
      <c r="R46">
        <f t="shared" si="11"/>
        <v>-23.375708093847258</v>
      </c>
      <c r="S46">
        <f t="shared" si="12"/>
        <v>-21.65831077491827</v>
      </c>
      <c r="T46">
        <f t="shared" si="13"/>
        <v>-23.743878646528678</v>
      </c>
    </row>
    <row r="47" spans="1:20" x14ac:dyDescent="0.4">
      <c r="A47" s="5"/>
      <c r="B47">
        <v>0</v>
      </c>
      <c r="C47">
        <v>0</v>
      </c>
      <c r="E47">
        <v>0</v>
      </c>
      <c r="F47">
        <v>-5.7138509303835434</v>
      </c>
      <c r="G47">
        <v>-11.268540357275137</v>
      </c>
      <c r="H47">
        <v>-20.034455552268245</v>
      </c>
      <c r="I47">
        <v>-22.840956385014106</v>
      </c>
      <c r="J47">
        <v>-21.367024518255707</v>
      </c>
      <c r="K47">
        <v>-23.332302184165385</v>
      </c>
      <c r="N47">
        <f t="shared" si="7"/>
        <v>0</v>
      </c>
      <c r="O47">
        <f t="shared" si="8"/>
        <v>-5.7138509303835434</v>
      </c>
      <c r="P47">
        <f t="shared" si="9"/>
        <v>-11.268540357275137</v>
      </c>
      <c r="Q47">
        <f t="shared" si="10"/>
        <v>-20.034455552268245</v>
      </c>
      <c r="R47">
        <f t="shared" si="11"/>
        <v>-22.840956385014106</v>
      </c>
      <c r="S47">
        <f t="shared" si="12"/>
        <v>-21.367024518255707</v>
      </c>
      <c r="T47">
        <f t="shared" si="13"/>
        <v>-23.332302184165385</v>
      </c>
    </row>
    <row r="48" spans="1:20" x14ac:dyDescent="0.4">
      <c r="A48" s="5"/>
      <c r="B48">
        <v>2</v>
      </c>
      <c r="C48">
        <v>0</v>
      </c>
      <c r="E48">
        <v>0</v>
      </c>
      <c r="F48">
        <v>-5.7595850506602435</v>
      </c>
      <c r="G48">
        <v>-11.29179287145662</v>
      </c>
      <c r="H48">
        <v>-21.132028015216978</v>
      </c>
      <c r="I48">
        <v>-22.93524520988046</v>
      </c>
      <c r="J48">
        <v>-22.207443517327459</v>
      </c>
      <c r="K48">
        <v>-23.773613573905109</v>
      </c>
      <c r="N48">
        <f t="shared" si="7"/>
        <v>0</v>
      </c>
      <c r="O48">
        <f t="shared" si="8"/>
        <v>-5.7595850506602435</v>
      </c>
      <c r="P48">
        <f t="shared" si="9"/>
        <v>-11.29179287145662</v>
      </c>
      <c r="Q48">
        <f t="shared" si="10"/>
        <v>-21.132028015216978</v>
      </c>
      <c r="R48">
        <f t="shared" si="11"/>
        <v>-22.93524520988046</v>
      </c>
      <c r="S48">
        <f t="shared" si="12"/>
        <v>-22.207443517327459</v>
      </c>
      <c r="T48">
        <f t="shared" si="13"/>
        <v>-23.773613573905109</v>
      </c>
    </row>
    <row r="49" spans="1:20" x14ac:dyDescent="0.4">
      <c r="A49" s="5"/>
      <c r="B49">
        <v>4</v>
      </c>
      <c r="C49">
        <v>0</v>
      </c>
      <c r="E49">
        <v>0</v>
      </c>
      <c r="F49">
        <v>-5.8906865830434603</v>
      </c>
      <c r="G49">
        <v>-11.436321111782179</v>
      </c>
      <c r="H49">
        <v>-21.342001425539468</v>
      </c>
      <c r="I49">
        <v>-22.644085640551438</v>
      </c>
      <c r="J49">
        <v>-22.489536872992186</v>
      </c>
      <c r="K49">
        <v>-25.089318351861348</v>
      </c>
      <c r="N49">
        <f t="shared" si="7"/>
        <v>0</v>
      </c>
      <c r="O49">
        <f t="shared" si="8"/>
        <v>-5.8906865830434603</v>
      </c>
      <c r="P49">
        <f t="shared" si="9"/>
        <v>-11.436321111782179</v>
      </c>
      <c r="Q49">
        <f t="shared" si="10"/>
        <v>-21.342001425539468</v>
      </c>
      <c r="R49">
        <f t="shared" si="11"/>
        <v>-22.644085640551438</v>
      </c>
      <c r="S49">
        <f t="shared" si="12"/>
        <v>-22.489536872992186</v>
      </c>
      <c r="T49">
        <f t="shared" si="13"/>
        <v>-25.089318351861348</v>
      </c>
    </row>
    <row r="50" spans="1:20" x14ac:dyDescent="0.4">
      <c r="A50" s="5"/>
      <c r="B50">
        <v>6</v>
      </c>
      <c r="C50">
        <v>0</v>
      </c>
      <c r="E50">
        <v>0</v>
      </c>
      <c r="F50">
        <v>-6.0891212661199594</v>
      </c>
      <c r="G50">
        <v>-11.755244985747037</v>
      </c>
      <c r="H50">
        <v>-22.023108963344438</v>
      </c>
      <c r="I50">
        <v>-25.271921371710157</v>
      </c>
      <c r="J50">
        <v>-27.78911260778704</v>
      </c>
      <c r="K50">
        <v>-30.337815188066617</v>
      </c>
      <c r="N50">
        <f t="shared" si="7"/>
        <v>0</v>
      </c>
      <c r="O50">
        <f t="shared" si="8"/>
        <v>-6.0891212661199594</v>
      </c>
      <c r="P50">
        <f t="shared" si="9"/>
        <v>-11.755244985747037</v>
      </c>
      <c r="Q50">
        <f t="shared" si="10"/>
        <v>-22.023108963344438</v>
      </c>
      <c r="R50">
        <f t="shared" si="11"/>
        <v>-25.271921371710157</v>
      </c>
      <c r="S50">
        <f t="shared" si="12"/>
        <v>-27.78911260778704</v>
      </c>
      <c r="T50">
        <f t="shared" si="13"/>
        <v>-30.337815188066617</v>
      </c>
    </row>
    <row r="51" spans="1:20" x14ac:dyDescent="0.4">
      <c r="A51" s="5"/>
      <c r="B51">
        <v>8</v>
      </c>
      <c r="C51">
        <v>0</v>
      </c>
      <c r="E51">
        <v>0</v>
      </c>
      <c r="F51">
        <v>-6.2708925835915634</v>
      </c>
      <c r="G51">
        <v>-12.150717504919101</v>
      </c>
      <c r="H51">
        <v>-23.00470313028098</v>
      </c>
      <c r="I51">
        <v>-25.468406151332729</v>
      </c>
      <c r="J51">
        <v>-29.92097558710617</v>
      </c>
      <c r="K51">
        <v>-33.423306293940279</v>
      </c>
      <c r="N51">
        <f t="shared" si="7"/>
        <v>0</v>
      </c>
      <c r="O51">
        <f t="shared" si="8"/>
        <v>-6.2708925835915634</v>
      </c>
      <c r="P51">
        <f t="shared" si="9"/>
        <v>-12.150717504919101</v>
      </c>
      <c r="Q51">
        <f t="shared" si="10"/>
        <v>-23.00470313028098</v>
      </c>
      <c r="R51">
        <f t="shared" si="11"/>
        <v>-25.468406151332729</v>
      </c>
      <c r="S51">
        <f t="shared" si="12"/>
        <v>-29.92097558710617</v>
      </c>
      <c r="T51">
        <f t="shared" si="13"/>
        <v>-33.423306293940279</v>
      </c>
    </row>
    <row r="52" spans="1:20" x14ac:dyDescent="0.4">
      <c r="A52" s="5"/>
      <c r="B52">
        <v>10</v>
      </c>
      <c r="C52">
        <v>0</v>
      </c>
      <c r="E52">
        <v>0</v>
      </c>
      <c r="F52">
        <v>4.0462470139836713</v>
      </c>
      <c r="G52">
        <v>-1.2354960313784982</v>
      </c>
      <c r="H52">
        <v>-13.673825023491675</v>
      </c>
      <c r="I52">
        <v>-22.397195252068204</v>
      </c>
      <c r="J52">
        <v>-27.437036904220523</v>
      </c>
      <c r="K52">
        <v>-32.323078699771955</v>
      </c>
      <c r="N52">
        <f t="shared" si="7"/>
        <v>0</v>
      </c>
      <c r="O52">
        <f t="shared" si="8"/>
        <v>4.0462470139836713</v>
      </c>
      <c r="P52">
        <f t="shared" si="9"/>
        <v>-1.2354960313784982</v>
      </c>
      <c r="Q52">
        <f t="shared" si="10"/>
        <v>-13.673825023491675</v>
      </c>
      <c r="R52">
        <f t="shared" si="11"/>
        <v>-22.397195252068204</v>
      </c>
      <c r="S52">
        <f t="shared" si="12"/>
        <v>-27.437036904220523</v>
      </c>
      <c r="T52">
        <f t="shared" si="13"/>
        <v>-32.323078699771955</v>
      </c>
    </row>
    <row r="53" spans="1:20" x14ac:dyDescent="0.4">
      <c r="A53" s="5"/>
      <c r="B53">
        <v>11</v>
      </c>
      <c r="C53">
        <v>0</v>
      </c>
      <c r="E53">
        <v>0</v>
      </c>
      <c r="F53">
        <v>-8.3755028170413972</v>
      </c>
      <c r="G53">
        <v>-13.591616481351114</v>
      </c>
      <c r="H53">
        <v>-11.010707940926954</v>
      </c>
      <c r="I53">
        <v>-20.786665905302065</v>
      </c>
      <c r="J53">
        <v>-24.677204323845793</v>
      </c>
      <c r="K53">
        <v>-30.855273920186974</v>
      </c>
      <c r="N53">
        <f t="shared" si="7"/>
        <v>0</v>
      </c>
      <c r="O53">
        <f t="shared" si="8"/>
        <v>-8.3755028170413972</v>
      </c>
      <c r="P53">
        <f t="shared" si="9"/>
        <v>-13.591616481351114</v>
      </c>
      <c r="Q53">
        <f t="shared" si="10"/>
        <v>-11.010707940926954</v>
      </c>
      <c r="R53">
        <f t="shared" si="11"/>
        <v>-20.786665905302065</v>
      </c>
      <c r="S53">
        <f t="shared" si="12"/>
        <v>-24.677204323845793</v>
      </c>
      <c r="T53">
        <f t="shared" si="13"/>
        <v>-30.855273920186974</v>
      </c>
    </row>
    <row r="54" spans="1:20" x14ac:dyDescent="0.4">
      <c r="A54" s="5"/>
      <c r="B54">
        <v>12</v>
      </c>
      <c r="C54">
        <v>0</v>
      </c>
      <c r="E54">
        <v>0</v>
      </c>
      <c r="F54">
        <v>-10.125022179375145</v>
      </c>
      <c r="G54">
        <v>-17.654125573033866</v>
      </c>
      <c r="H54">
        <v>-25.523734554615697</v>
      </c>
      <c r="I54">
        <v>-20.090171804165195</v>
      </c>
      <c r="J54">
        <v>-27.652490344114767</v>
      </c>
      <c r="K54">
        <v>-35.83488211900297</v>
      </c>
      <c r="N54">
        <f t="shared" si="7"/>
        <v>0</v>
      </c>
      <c r="O54">
        <f t="shared" si="8"/>
        <v>-10.125022179375145</v>
      </c>
      <c r="P54">
        <f t="shared" si="9"/>
        <v>-17.654125573033866</v>
      </c>
      <c r="Q54">
        <f t="shared" si="10"/>
        <v>-25.523734554615697</v>
      </c>
      <c r="R54">
        <f t="shared" si="11"/>
        <v>-20.090171804165195</v>
      </c>
      <c r="S54">
        <f t="shared" si="12"/>
        <v>-27.652490344114767</v>
      </c>
      <c r="T54">
        <f t="shared" si="13"/>
        <v>-35.83488211900297</v>
      </c>
    </row>
    <row r="55" spans="1:20" x14ac:dyDescent="0.4">
      <c r="A55" s="5"/>
      <c r="B55">
        <v>13</v>
      </c>
      <c r="C55">
        <v>0</v>
      </c>
      <c r="E55">
        <v>0</v>
      </c>
      <c r="F55">
        <v>-8.2204281111475606</v>
      </c>
      <c r="G55">
        <v>-14.467838049142417</v>
      </c>
      <c r="H55">
        <v>-23.471820463179849</v>
      </c>
      <c r="I55">
        <v>-4.7791000426246626</v>
      </c>
      <c r="J55">
        <v>-13.379130939897248</v>
      </c>
      <c r="K55">
        <v>-22.806765481161289</v>
      </c>
      <c r="N55">
        <f t="shared" si="7"/>
        <v>0</v>
      </c>
      <c r="O55">
        <f t="shared" si="8"/>
        <v>-8.2204281111475606</v>
      </c>
      <c r="P55">
        <f t="shared" si="9"/>
        <v>-14.467838049142417</v>
      </c>
      <c r="Q55">
        <f t="shared" si="10"/>
        <v>-23.471820463179849</v>
      </c>
      <c r="R55">
        <f t="shared" si="11"/>
        <v>-4.7791000426246626</v>
      </c>
      <c r="S55">
        <f t="shared" si="12"/>
        <v>-13.379130939897248</v>
      </c>
      <c r="T55">
        <f t="shared" si="13"/>
        <v>-22.806765481161289</v>
      </c>
    </row>
    <row r="56" spans="1:20" x14ac:dyDescent="0.4">
      <c r="A56" s="5"/>
      <c r="B56">
        <v>14</v>
      </c>
      <c r="C56">
        <v>0</v>
      </c>
      <c r="E56">
        <v>0</v>
      </c>
      <c r="F56">
        <v>-9.4489878569031962</v>
      </c>
      <c r="G56">
        <v>-16.299592719922117</v>
      </c>
      <c r="H56">
        <v>-28.188868650941885</v>
      </c>
      <c r="I56">
        <v>-33.196576005181079</v>
      </c>
      <c r="J56">
        <v>-20.232161610936874</v>
      </c>
      <c r="K56">
        <v>-29.577264418758755</v>
      </c>
      <c r="N56">
        <f t="shared" si="7"/>
        <v>0</v>
      </c>
      <c r="O56">
        <f t="shared" si="8"/>
        <v>-9.4489878569031962</v>
      </c>
      <c r="P56">
        <f t="shared" si="9"/>
        <v>-16.299592719922117</v>
      </c>
      <c r="Q56">
        <f t="shared" si="10"/>
        <v>-28.188868650941885</v>
      </c>
      <c r="R56">
        <f t="shared" si="11"/>
        <v>-33.196576005181079</v>
      </c>
      <c r="S56">
        <f t="shared" si="12"/>
        <v>-20.232161610936874</v>
      </c>
      <c r="T56">
        <f t="shared" si="13"/>
        <v>-29.577264418758755</v>
      </c>
    </row>
    <row r="57" spans="1:20" x14ac:dyDescent="0.4">
      <c r="A57" s="4"/>
      <c r="N57">
        <f t="shared" si="7"/>
        <v>0</v>
      </c>
      <c r="O57">
        <f t="shared" si="8"/>
        <v>0</v>
      </c>
      <c r="P57">
        <f t="shared" si="9"/>
        <v>0</v>
      </c>
      <c r="Q57">
        <f t="shared" si="10"/>
        <v>0</v>
      </c>
      <c r="R57">
        <f t="shared" si="11"/>
        <v>0</v>
      </c>
      <c r="S57">
        <f t="shared" si="12"/>
        <v>0</v>
      </c>
      <c r="T57">
        <f t="shared" si="13"/>
        <v>0</v>
      </c>
    </row>
    <row r="58" spans="1:20" x14ac:dyDescent="0.4">
      <c r="A58" s="5" t="s">
        <v>19</v>
      </c>
      <c r="B58">
        <v>-6</v>
      </c>
      <c r="C58">
        <v>26.003038728643489</v>
      </c>
      <c r="E58">
        <v>0</v>
      </c>
      <c r="F58">
        <v>-0.39903363368117795</v>
      </c>
      <c r="G58">
        <v>-3.3273453327947671</v>
      </c>
      <c r="H58">
        <v>-3.4489695908620384</v>
      </c>
      <c r="I58">
        <v>-7.6208304840622176</v>
      </c>
      <c r="J58">
        <v>-7.9855970038250774</v>
      </c>
      <c r="K58">
        <v>-21.645220100166632</v>
      </c>
      <c r="N58">
        <f t="shared" si="7"/>
        <v>26.003038728643489</v>
      </c>
      <c r="O58">
        <f t="shared" si="8"/>
        <v>25.604005094962311</v>
      </c>
      <c r="P58">
        <f t="shared" si="9"/>
        <v>22.675693395848722</v>
      </c>
      <c r="Q58">
        <f t="shared" si="10"/>
        <v>22.55406913778145</v>
      </c>
      <c r="R58">
        <f t="shared" si="11"/>
        <v>18.382208244581271</v>
      </c>
      <c r="S58">
        <f t="shared" si="12"/>
        <v>18.017441724818411</v>
      </c>
      <c r="T58">
        <f t="shared" si="13"/>
        <v>4.3578186284768563</v>
      </c>
    </row>
    <row r="59" spans="1:20" x14ac:dyDescent="0.4">
      <c r="A59" s="5"/>
      <c r="B59">
        <v>-4</v>
      </c>
      <c r="C59">
        <v>6.7807455864676833E-2</v>
      </c>
      <c r="E59">
        <v>0</v>
      </c>
      <c r="F59">
        <v>-0.11542481439095462</v>
      </c>
      <c r="G59">
        <v>-0.20471003567184576</v>
      </c>
      <c r="H59">
        <v>-0.88945482289071465</v>
      </c>
      <c r="I59">
        <v>-11.859587876562657</v>
      </c>
      <c r="J59">
        <v>-13.414665262957506</v>
      </c>
      <c r="K59">
        <v>-19.553772295965707</v>
      </c>
      <c r="N59">
        <f t="shared" si="7"/>
        <v>6.7807455864676833E-2</v>
      </c>
      <c r="O59">
        <f t="shared" si="8"/>
        <v>-4.7617358526277784E-2</v>
      </c>
      <c r="P59">
        <f t="shared" si="9"/>
        <v>-0.13690257980716891</v>
      </c>
      <c r="Q59">
        <f t="shared" si="10"/>
        <v>-0.8216473670260378</v>
      </c>
      <c r="R59">
        <f t="shared" si="11"/>
        <v>-11.791780420697981</v>
      </c>
      <c r="S59">
        <f t="shared" si="12"/>
        <v>-13.34685780709283</v>
      </c>
      <c r="T59">
        <f t="shared" si="13"/>
        <v>-19.48596484010103</v>
      </c>
    </row>
    <row r="60" spans="1:20" x14ac:dyDescent="0.4">
      <c r="A60" s="5"/>
      <c r="B60">
        <v>-2</v>
      </c>
      <c r="C60">
        <v>-18.7262608994257</v>
      </c>
      <c r="E60">
        <v>0</v>
      </c>
      <c r="F60">
        <v>2.3291567926250423E-2</v>
      </c>
      <c r="G60">
        <v>8.080641221415874E-2</v>
      </c>
      <c r="H60">
        <v>-1.0396497338942297</v>
      </c>
      <c r="I60">
        <v>0.17426392306001048</v>
      </c>
      <c r="J60">
        <v>-10.329079450706839</v>
      </c>
      <c r="K60">
        <v>-16.013754436208171</v>
      </c>
      <c r="N60">
        <f t="shared" si="7"/>
        <v>-18.7262608994257</v>
      </c>
      <c r="O60">
        <f t="shared" si="8"/>
        <v>-18.70296933149945</v>
      </c>
      <c r="P60">
        <f t="shared" si="9"/>
        <v>-18.645454487211541</v>
      </c>
      <c r="Q60">
        <f t="shared" si="10"/>
        <v>-19.76591063331993</v>
      </c>
      <c r="R60">
        <f t="shared" si="11"/>
        <v>-18.55199697636569</v>
      </c>
      <c r="S60">
        <f t="shared" si="12"/>
        <v>-29.055340350132539</v>
      </c>
      <c r="T60">
        <f t="shared" si="13"/>
        <v>-34.740015335633871</v>
      </c>
    </row>
    <row r="61" spans="1:20" x14ac:dyDescent="0.4">
      <c r="A61" s="5"/>
      <c r="B61">
        <v>0</v>
      </c>
      <c r="C61">
        <v>-35.776766761686822</v>
      </c>
      <c r="E61">
        <v>0</v>
      </c>
      <c r="F61">
        <v>7.9730381975195996E-3</v>
      </c>
      <c r="G61">
        <v>-4.9997865072057834E-3</v>
      </c>
      <c r="H61">
        <v>-0.47691796283254462</v>
      </c>
      <c r="I61">
        <v>0.68528037672260211</v>
      </c>
      <c r="J61">
        <v>-8.6336868520258747</v>
      </c>
      <c r="K61">
        <v>-14.292617506969471</v>
      </c>
      <c r="N61">
        <f t="shared" si="7"/>
        <v>-35.776766761686822</v>
      </c>
      <c r="O61">
        <f t="shared" si="8"/>
        <v>-35.768793723489303</v>
      </c>
      <c r="P61">
        <f t="shared" si="9"/>
        <v>-35.781766548194028</v>
      </c>
      <c r="Q61">
        <f t="shared" si="10"/>
        <v>-36.253684724519367</v>
      </c>
      <c r="R61">
        <f t="shared" si="11"/>
        <v>-35.09148638496422</v>
      </c>
      <c r="S61">
        <f t="shared" si="12"/>
        <v>-44.410453613712697</v>
      </c>
      <c r="T61">
        <f t="shared" si="13"/>
        <v>-50.069384268656293</v>
      </c>
    </row>
    <row r="62" spans="1:20" x14ac:dyDescent="0.4">
      <c r="A62" s="5"/>
      <c r="B62">
        <v>2</v>
      </c>
      <c r="C62">
        <v>-52.165298220986877</v>
      </c>
      <c r="E62">
        <v>0</v>
      </c>
      <c r="F62">
        <v>-1.0347793684026385E-2</v>
      </c>
      <c r="G62">
        <v>-5.9593160651665755E-2</v>
      </c>
      <c r="H62">
        <v>-0.22282738619445297</v>
      </c>
      <c r="I62">
        <v>1.3634297091454641</v>
      </c>
      <c r="J62">
        <v>-5.9512349029755498</v>
      </c>
      <c r="K62">
        <v>-11.079493435096346</v>
      </c>
      <c r="N62">
        <f t="shared" si="7"/>
        <v>-52.165298220986877</v>
      </c>
      <c r="O62">
        <f t="shared" si="8"/>
        <v>-52.175646014670903</v>
      </c>
      <c r="P62">
        <f t="shared" si="9"/>
        <v>-52.224891381638542</v>
      </c>
      <c r="Q62">
        <f t="shared" si="10"/>
        <v>-52.38812560718133</v>
      </c>
      <c r="R62">
        <f t="shared" si="11"/>
        <v>-50.801868511841413</v>
      </c>
      <c r="S62">
        <f t="shared" si="12"/>
        <v>-58.116533123962427</v>
      </c>
      <c r="T62">
        <f t="shared" si="13"/>
        <v>-63.244791656083223</v>
      </c>
    </row>
    <row r="63" spans="1:20" x14ac:dyDescent="0.4">
      <c r="A63" s="5"/>
      <c r="B63">
        <v>4</v>
      </c>
      <c r="C63">
        <v>-67.769602900103294</v>
      </c>
      <c r="E63">
        <v>0</v>
      </c>
      <c r="F63">
        <v>2.6078760871101281E-2</v>
      </c>
      <c r="G63">
        <v>0.18261346897874375</v>
      </c>
      <c r="H63">
        <v>0.71690725229474594</v>
      </c>
      <c r="I63">
        <v>3.1264801142457372</v>
      </c>
      <c r="J63">
        <v>-1.6337035753942502</v>
      </c>
      <c r="K63">
        <v>-0.91785023542033173</v>
      </c>
      <c r="N63">
        <f t="shared" si="7"/>
        <v>-67.769602900103294</v>
      </c>
      <c r="O63">
        <f t="shared" si="8"/>
        <v>-67.743524139232193</v>
      </c>
      <c r="P63">
        <f t="shared" si="9"/>
        <v>-67.58698943112455</v>
      </c>
      <c r="Q63">
        <f t="shared" si="10"/>
        <v>-67.052695647808548</v>
      </c>
      <c r="R63">
        <f t="shared" si="11"/>
        <v>-64.643122785857557</v>
      </c>
      <c r="S63">
        <f t="shared" si="12"/>
        <v>-69.403306475497544</v>
      </c>
      <c r="T63">
        <f t="shared" si="13"/>
        <v>-68.687453135523626</v>
      </c>
    </row>
    <row r="64" spans="1:20" x14ac:dyDescent="0.4">
      <c r="A64" s="5"/>
      <c r="B64">
        <v>6</v>
      </c>
      <c r="C64">
        <v>-82.543349033354389</v>
      </c>
      <c r="E64">
        <v>0</v>
      </c>
      <c r="F64">
        <v>0.10271000893895632</v>
      </c>
      <c r="G64">
        <v>0.34520473967987186</v>
      </c>
      <c r="H64">
        <v>1.7397913875828692</v>
      </c>
      <c r="I64">
        <v>8.2380949562921302</v>
      </c>
      <c r="J64">
        <v>10.531797348612699</v>
      </c>
      <c r="K64">
        <v>17.380081204411482</v>
      </c>
      <c r="N64">
        <f t="shared" si="7"/>
        <v>-82.543349033354389</v>
      </c>
      <c r="O64">
        <f t="shared" si="8"/>
        <v>-82.440639024415432</v>
      </c>
      <c r="P64">
        <f t="shared" si="9"/>
        <v>-82.198144293674517</v>
      </c>
      <c r="Q64">
        <f t="shared" si="10"/>
        <v>-80.803557645771519</v>
      </c>
      <c r="R64">
        <f t="shared" si="11"/>
        <v>-74.305254077062258</v>
      </c>
      <c r="S64">
        <f t="shared" si="12"/>
        <v>-72.01155168474169</v>
      </c>
      <c r="T64">
        <f t="shared" si="13"/>
        <v>-65.163267828942907</v>
      </c>
    </row>
    <row r="65" spans="1:20" x14ac:dyDescent="0.4">
      <c r="A65" s="5"/>
      <c r="B65">
        <v>8</v>
      </c>
      <c r="C65">
        <v>-96.49013141672242</v>
      </c>
      <c r="E65">
        <v>0</v>
      </c>
      <c r="F65">
        <v>0.19945575584773678</v>
      </c>
      <c r="G65">
        <v>0.82031741128237456</v>
      </c>
      <c r="H65">
        <v>1.6295024807847511</v>
      </c>
      <c r="I65">
        <v>5.8192692640987929</v>
      </c>
      <c r="J65">
        <v>9.2786871655763434</v>
      </c>
      <c r="K65">
        <v>15.665101273040491</v>
      </c>
      <c r="N65">
        <f t="shared" si="7"/>
        <v>-96.49013141672242</v>
      </c>
      <c r="O65">
        <f t="shared" si="8"/>
        <v>-96.290675660874683</v>
      </c>
      <c r="P65">
        <f t="shared" si="9"/>
        <v>-95.669814005440045</v>
      </c>
      <c r="Q65">
        <f t="shared" si="10"/>
        <v>-94.860628935937669</v>
      </c>
      <c r="R65">
        <f t="shared" si="11"/>
        <v>-90.670862152623627</v>
      </c>
      <c r="S65">
        <f t="shared" si="12"/>
        <v>-87.211444251146077</v>
      </c>
      <c r="T65">
        <f t="shared" si="13"/>
        <v>-80.825030143681929</v>
      </c>
    </row>
    <row r="66" spans="1:20" x14ac:dyDescent="0.4">
      <c r="A66" s="5"/>
      <c r="B66">
        <v>10</v>
      </c>
      <c r="C66">
        <v>-112.39034153712809</v>
      </c>
      <c r="E66">
        <v>0</v>
      </c>
      <c r="F66">
        <v>-2.8662083497913073</v>
      </c>
      <c r="G66">
        <v>-5.3660668662685111</v>
      </c>
      <c r="H66">
        <v>-9.2762224911060116</v>
      </c>
      <c r="I66">
        <v>-4.885179476610702</v>
      </c>
      <c r="J66">
        <v>-4.2283103243941014</v>
      </c>
      <c r="K66">
        <v>-1.2768899415239048</v>
      </c>
      <c r="N66">
        <f t="shared" ref="N66:N84" si="14">$C66+E66</f>
        <v>-112.39034153712809</v>
      </c>
      <c r="O66">
        <f t="shared" ref="O66:O84" si="15">$C66+F66</f>
        <v>-115.2565498869194</v>
      </c>
      <c r="P66">
        <f t="shared" ref="P66:P84" si="16">$C66+G66</f>
        <v>-117.75640840339661</v>
      </c>
      <c r="Q66">
        <f t="shared" ref="Q66:Q84" si="17">$C66+H66</f>
        <v>-121.66656402823411</v>
      </c>
      <c r="R66">
        <f t="shared" ref="R66:R84" si="18">$C66+I66</f>
        <v>-117.2755210137388</v>
      </c>
      <c r="S66">
        <f t="shared" ref="S66:S84" si="19">$C66+J66</f>
        <v>-116.6186518615222</v>
      </c>
      <c r="T66">
        <f t="shared" ref="T66:T84" si="20">$C66+K66</f>
        <v>-113.667231478652</v>
      </c>
    </row>
    <row r="67" spans="1:20" x14ac:dyDescent="0.4">
      <c r="A67" s="5"/>
      <c r="B67">
        <v>11</v>
      </c>
      <c r="C67">
        <v>-123.0404855154558</v>
      </c>
      <c r="E67">
        <v>0</v>
      </c>
      <c r="F67">
        <v>-1.5296377401050023</v>
      </c>
      <c r="G67">
        <v>-1.1276321074200979</v>
      </c>
      <c r="H67">
        <v>-7.8975499618300091</v>
      </c>
      <c r="I67">
        <v>-4.4573044632124947</v>
      </c>
      <c r="J67">
        <v>-16.90101675082019</v>
      </c>
      <c r="K67">
        <v>-19.937389849860409</v>
      </c>
      <c r="N67">
        <f t="shared" si="14"/>
        <v>-123.0404855154558</v>
      </c>
      <c r="O67">
        <f t="shared" si="15"/>
        <v>-124.5701232555608</v>
      </c>
      <c r="P67">
        <f t="shared" si="16"/>
        <v>-124.1681176228759</v>
      </c>
      <c r="Q67">
        <f t="shared" si="17"/>
        <v>-130.93803547728581</v>
      </c>
      <c r="R67">
        <f t="shared" si="18"/>
        <v>-127.49778997866829</v>
      </c>
      <c r="S67">
        <f t="shared" si="19"/>
        <v>-139.94150226627599</v>
      </c>
      <c r="T67">
        <f t="shared" si="20"/>
        <v>-142.97787536531621</v>
      </c>
    </row>
    <row r="68" spans="1:20" x14ac:dyDescent="0.4">
      <c r="A68" s="5"/>
      <c r="B68">
        <v>12</v>
      </c>
      <c r="C68">
        <v>-135.22817363962969</v>
      </c>
      <c r="E68">
        <v>0</v>
      </c>
      <c r="F68">
        <v>0.74557633285238012</v>
      </c>
      <c r="G68">
        <v>2.2322847616216848</v>
      </c>
      <c r="H68">
        <v>2.2691714067215969</v>
      </c>
      <c r="I68">
        <v>9.0615570350984882</v>
      </c>
      <c r="J68">
        <v>-5.6882141663951984</v>
      </c>
      <c r="K68">
        <v>-16.258786915012507</v>
      </c>
      <c r="N68">
        <f t="shared" si="14"/>
        <v>-135.22817363962969</v>
      </c>
      <c r="O68">
        <f t="shared" si="15"/>
        <v>-134.48259730677731</v>
      </c>
      <c r="P68">
        <f t="shared" si="16"/>
        <v>-132.995888878008</v>
      </c>
      <c r="Q68">
        <f t="shared" si="17"/>
        <v>-132.95900223290809</v>
      </c>
      <c r="R68">
        <f t="shared" si="18"/>
        <v>-126.1666166045312</v>
      </c>
      <c r="S68">
        <f t="shared" si="19"/>
        <v>-140.91638780602489</v>
      </c>
      <c r="T68">
        <f t="shared" si="20"/>
        <v>-151.4869605546422</v>
      </c>
    </row>
    <row r="69" spans="1:20" x14ac:dyDescent="0.4">
      <c r="A69" s="5"/>
      <c r="B69">
        <v>13</v>
      </c>
      <c r="C69">
        <v>-141.76248923293221</v>
      </c>
      <c r="E69">
        <v>0</v>
      </c>
      <c r="F69">
        <v>0.93533689630442041</v>
      </c>
      <c r="G69">
        <v>24.424978414240314</v>
      </c>
      <c r="H69">
        <v>24.893658102404714</v>
      </c>
      <c r="I69">
        <v>14.601178791751408</v>
      </c>
      <c r="J69">
        <v>11.805441108453323</v>
      </c>
      <c r="K69">
        <v>-16.918617668689592</v>
      </c>
      <c r="N69">
        <f t="shared" si="14"/>
        <v>-141.76248923293221</v>
      </c>
      <c r="O69">
        <f t="shared" si="15"/>
        <v>-140.82715233662779</v>
      </c>
      <c r="P69">
        <f t="shared" si="16"/>
        <v>-117.3375108186919</v>
      </c>
      <c r="Q69">
        <f t="shared" si="17"/>
        <v>-116.8688311305275</v>
      </c>
      <c r="R69">
        <f t="shared" si="18"/>
        <v>-127.1613104411808</v>
      </c>
      <c r="S69">
        <f t="shared" si="19"/>
        <v>-129.95704812447889</v>
      </c>
      <c r="T69">
        <f t="shared" si="20"/>
        <v>-158.6811069016218</v>
      </c>
    </row>
    <row r="70" spans="1:20" x14ac:dyDescent="0.4">
      <c r="A70" s="5"/>
      <c r="B70">
        <v>14</v>
      </c>
      <c r="C70">
        <v>-147.9361726085265</v>
      </c>
      <c r="E70">
        <v>0</v>
      </c>
      <c r="F70">
        <v>1.2232301293699948</v>
      </c>
      <c r="G70">
        <v>27.643093915760105</v>
      </c>
      <c r="H70">
        <v>28.251689372351606</v>
      </c>
      <c r="I70">
        <v>35.445744379759205</v>
      </c>
      <c r="J70">
        <v>20.163249176230408</v>
      </c>
      <c r="K70">
        <v>-4.9539412581816009</v>
      </c>
      <c r="N70">
        <f t="shared" si="14"/>
        <v>-147.9361726085265</v>
      </c>
      <c r="O70">
        <f t="shared" si="15"/>
        <v>-146.71294247915651</v>
      </c>
      <c r="P70">
        <f t="shared" si="16"/>
        <v>-120.2930786927664</v>
      </c>
      <c r="Q70">
        <f t="shared" si="17"/>
        <v>-119.6844832361749</v>
      </c>
      <c r="R70">
        <f t="shared" si="18"/>
        <v>-112.4904282287673</v>
      </c>
      <c r="S70">
        <f t="shared" si="19"/>
        <v>-127.7729234322961</v>
      </c>
      <c r="T70">
        <f t="shared" si="20"/>
        <v>-152.89011386670811</v>
      </c>
    </row>
    <row r="71" spans="1:20" x14ac:dyDescent="0.4">
      <c r="A71" s="4"/>
      <c r="N71">
        <f t="shared" si="14"/>
        <v>0</v>
      </c>
      <c r="O71">
        <f t="shared" si="15"/>
        <v>0</v>
      </c>
      <c r="P71">
        <f t="shared" si="16"/>
        <v>0</v>
      </c>
      <c r="Q71">
        <f t="shared" si="17"/>
        <v>0</v>
      </c>
      <c r="R71">
        <f t="shared" si="18"/>
        <v>0</v>
      </c>
      <c r="S71">
        <f t="shared" si="19"/>
        <v>0</v>
      </c>
      <c r="T71">
        <f t="shared" si="20"/>
        <v>0</v>
      </c>
    </row>
    <row r="72" spans="1:20" x14ac:dyDescent="0.4">
      <c r="A72" s="5" t="s">
        <v>20</v>
      </c>
      <c r="B72">
        <v>-6</v>
      </c>
      <c r="C72">
        <v>0</v>
      </c>
      <c r="E72">
        <v>0</v>
      </c>
      <c r="F72">
        <v>8.9135320998586973</v>
      </c>
      <c r="G72">
        <v>7.3812645025139023</v>
      </c>
      <c r="H72">
        <v>22.635711754286671</v>
      </c>
      <c r="I72">
        <v>29.074721382111409</v>
      </c>
      <c r="J72">
        <v>20.660576573651941</v>
      </c>
      <c r="K72">
        <v>30.85497821370744</v>
      </c>
      <c r="N72">
        <f t="shared" si="14"/>
        <v>0</v>
      </c>
      <c r="O72">
        <f t="shared" si="15"/>
        <v>8.9135320998586973</v>
      </c>
      <c r="P72">
        <f t="shared" si="16"/>
        <v>7.3812645025139023</v>
      </c>
      <c r="Q72">
        <f t="shared" si="17"/>
        <v>22.635711754286671</v>
      </c>
      <c r="R72">
        <f t="shared" si="18"/>
        <v>29.074721382111409</v>
      </c>
      <c r="S72">
        <f t="shared" si="19"/>
        <v>20.660576573651941</v>
      </c>
      <c r="T72">
        <f t="shared" si="20"/>
        <v>30.85497821370744</v>
      </c>
    </row>
    <row r="73" spans="1:20" x14ac:dyDescent="0.4">
      <c r="A73" s="5"/>
      <c r="B73">
        <v>-4</v>
      </c>
      <c r="C73">
        <v>0</v>
      </c>
      <c r="E73">
        <v>0</v>
      </c>
      <c r="F73">
        <v>8.3084307997881304</v>
      </c>
      <c r="G73">
        <v>18.067523816855569</v>
      </c>
      <c r="H73">
        <v>29.987538017468989</v>
      </c>
      <c r="I73">
        <v>35.42231168591524</v>
      </c>
      <c r="J73">
        <v>27.303123700840089</v>
      </c>
      <c r="K73">
        <v>29.614506949907337</v>
      </c>
      <c r="N73">
        <f t="shared" si="14"/>
        <v>0</v>
      </c>
      <c r="O73">
        <f t="shared" si="15"/>
        <v>8.3084307997881304</v>
      </c>
      <c r="P73">
        <f t="shared" si="16"/>
        <v>18.067523816855569</v>
      </c>
      <c r="Q73">
        <f t="shared" si="17"/>
        <v>29.987538017468989</v>
      </c>
      <c r="R73">
        <f t="shared" si="18"/>
        <v>35.42231168591524</v>
      </c>
      <c r="S73">
        <f t="shared" si="19"/>
        <v>27.303123700840089</v>
      </c>
      <c r="T73">
        <f t="shared" si="20"/>
        <v>29.614506949907337</v>
      </c>
    </row>
    <row r="74" spans="1:20" x14ac:dyDescent="0.4">
      <c r="A74" s="5"/>
      <c r="B74">
        <v>-2</v>
      </c>
      <c r="C74">
        <v>0</v>
      </c>
      <c r="E74">
        <v>0</v>
      </c>
      <c r="F74">
        <v>8.9100876433277438</v>
      </c>
      <c r="G74">
        <v>19.186658619009314</v>
      </c>
      <c r="H74">
        <v>33.312110676654129</v>
      </c>
      <c r="I74">
        <v>38.369727568038222</v>
      </c>
      <c r="J74">
        <v>25.865471297735319</v>
      </c>
      <c r="K74">
        <v>30.240286102669316</v>
      </c>
      <c r="N74">
        <f t="shared" si="14"/>
        <v>0</v>
      </c>
      <c r="O74">
        <f t="shared" si="15"/>
        <v>8.9100876433277438</v>
      </c>
      <c r="P74">
        <f t="shared" si="16"/>
        <v>19.186658619009314</v>
      </c>
      <c r="Q74">
        <f t="shared" si="17"/>
        <v>33.312110676654129</v>
      </c>
      <c r="R74">
        <f t="shared" si="18"/>
        <v>38.369727568038222</v>
      </c>
      <c r="S74">
        <f t="shared" si="19"/>
        <v>25.865471297735319</v>
      </c>
      <c r="T74">
        <f t="shared" si="20"/>
        <v>30.240286102669316</v>
      </c>
    </row>
    <row r="75" spans="1:20" x14ac:dyDescent="0.4">
      <c r="A75" s="5"/>
      <c r="B75">
        <v>0</v>
      </c>
      <c r="C75">
        <v>0</v>
      </c>
      <c r="E75">
        <v>0</v>
      </c>
      <c r="F75">
        <v>9.2361915452651857</v>
      </c>
      <c r="G75">
        <v>19.62576047702596</v>
      </c>
      <c r="H75">
        <v>37.079536360157384</v>
      </c>
      <c r="I75">
        <v>38.326476998724999</v>
      </c>
      <c r="J75">
        <v>26.912324824620139</v>
      </c>
      <c r="K75">
        <v>32.09864912168662</v>
      </c>
      <c r="N75">
        <f t="shared" si="14"/>
        <v>0</v>
      </c>
      <c r="O75">
        <f t="shared" si="15"/>
        <v>9.2361915452651857</v>
      </c>
      <c r="P75">
        <f t="shared" si="16"/>
        <v>19.62576047702596</v>
      </c>
      <c r="Q75">
        <f t="shared" si="17"/>
        <v>37.079536360157384</v>
      </c>
      <c r="R75">
        <f t="shared" si="18"/>
        <v>38.326476998724999</v>
      </c>
      <c r="S75">
        <f t="shared" si="19"/>
        <v>26.912324824620139</v>
      </c>
      <c r="T75">
        <f t="shared" si="20"/>
        <v>32.09864912168662</v>
      </c>
    </row>
    <row r="76" spans="1:20" x14ac:dyDescent="0.4">
      <c r="A76" s="5"/>
      <c r="B76">
        <v>2</v>
      </c>
      <c r="C76">
        <v>0</v>
      </c>
      <c r="E76">
        <v>0</v>
      </c>
      <c r="F76">
        <v>9.5244375056887449</v>
      </c>
      <c r="G76">
        <v>20.023911626143228</v>
      </c>
      <c r="H76">
        <v>41.261416239727751</v>
      </c>
      <c r="I76">
        <v>38.497518612171348</v>
      </c>
      <c r="J76">
        <v>31.088757366203897</v>
      </c>
      <c r="K76">
        <v>35.15300948549406</v>
      </c>
      <c r="N76">
        <f t="shared" si="14"/>
        <v>0</v>
      </c>
      <c r="O76">
        <f t="shared" si="15"/>
        <v>9.5244375056887449</v>
      </c>
      <c r="P76">
        <f t="shared" si="16"/>
        <v>20.023911626143228</v>
      </c>
      <c r="Q76">
        <f t="shared" si="17"/>
        <v>41.261416239727751</v>
      </c>
      <c r="R76">
        <f t="shared" si="18"/>
        <v>38.497518612171348</v>
      </c>
      <c r="S76">
        <f t="shared" si="19"/>
        <v>31.088757366203897</v>
      </c>
      <c r="T76">
        <f t="shared" si="20"/>
        <v>35.15300948549406</v>
      </c>
    </row>
    <row r="77" spans="1:20" x14ac:dyDescent="0.4">
      <c r="A77" s="5"/>
      <c r="B77">
        <v>4</v>
      </c>
      <c r="C77">
        <v>0</v>
      </c>
      <c r="E77">
        <v>0</v>
      </c>
      <c r="F77">
        <v>10.071564490197051</v>
      </c>
      <c r="G77">
        <v>20.399208128177602</v>
      </c>
      <c r="H77">
        <v>40.766228314047176</v>
      </c>
      <c r="I77">
        <v>35.61138607628034</v>
      </c>
      <c r="J77">
        <v>28.189153830526212</v>
      </c>
      <c r="K77">
        <v>35.322741017058682</v>
      </c>
      <c r="N77">
        <f t="shared" si="14"/>
        <v>0</v>
      </c>
      <c r="O77">
        <f t="shared" si="15"/>
        <v>10.071564490197051</v>
      </c>
      <c r="P77">
        <f t="shared" si="16"/>
        <v>20.399208128177602</v>
      </c>
      <c r="Q77">
        <f t="shared" si="17"/>
        <v>40.766228314047176</v>
      </c>
      <c r="R77">
        <f t="shared" si="18"/>
        <v>35.61138607628034</v>
      </c>
      <c r="S77">
        <f t="shared" si="19"/>
        <v>28.189153830526212</v>
      </c>
      <c r="T77">
        <f t="shared" si="20"/>
        <v>35.322741017058682</v>
      </c>
    </row>
    <row r="78" spans="1:20" x14ac:dyDescent="0.4">
      <c r="A78" s="5"/>
      <c r="B78">
        <v>6</v>
      </c>
      <c r="C78">
        <v>0</v>
      </c>
      <c r="E78">
        <v>0</v>
      </c>
      <c r="F78">
        <v>11.009633427140527</v>
      </c>
      <c r="G78">
        <v>21.395294115737691</v>
      </c>
      <c r="H78">
        <v>40.48482586463183</v>
      </c>
      <c r="I78">
        <v>36.23908492352632</v>
      </c>
      <c r="J78">
        <v>36.160433094134135</v>
      </c>
      <c r="K78">
        <v>38.503286407167906</v>
      </c>
      <c r="N78">
        <f t="shared" si="14"/>
        <v>0</v>
      </c>
      <c r="O78">
        <f t="shared" si="15"/>
        <v>11.009633427140527</v>
      </c>
      <c r="P78">
        <f t="shared" si="16"/>
        <v>21.395294115737691</v>
      </c>
      <c r="Q78">
        <f t="shared" si="17"/>
        <v>40.48482586463183</v>
      </c>
      <c r="R78">
        <f t="shared" si="18"/>
        <v>36.23908492352632</v>
      </c>
      <c r="S78">
        <f t="shared" si="19"/>
        <v>36.160433094134135</v>
      </c>
      <c r="T78">
        <f t="shared" si="20"/>
        <v>38.503286407167906</v>
      </c>
    </row>
    <row r="79" spans="1:20" x14ac:dyDescent="0.4">
      <c r="A79" s="5"/>
      <c r="B79">
        <v>8</v>
      </c>
      <c r="C79">
        <v>0</v>
      </c>
      <c r="E79">
        <v>0</v>
      </c>
      <c r="F79">
        <v>11.963759434693394</v>
      </c>
      <c r="G79">
        <v>22.2858011389641</v>
      </c>
      <c r="H79">
        <v>41.120216294515444</v>
      </c>
      <c r="I79">
        <v>38.90552460731373</v>
      </c>
      <c r="J79">
        <v>40.948019335356918</v>
      </c>
      <c r="K79">
        <v>40.831746954233324</v>
      </c>
      <c r="N79">
        <f t="shared" si="14"/>
        <v>0</v>
      </c>
      <c r="O79">
        <f t="shared" si="15"/>
        <v>11.963759434693394</v>
      </c>
      <c r="P79">
        <f t="shared" si="16"/>
        <v>22.2858011389641</v>
      </c>
      <c r="Q79">
        <f t="shared" si="17"/>
        <v>41.120216294515444</v>
      </c>
      <c r="R79">
        <f t="shared" si="18"/>
        <v>38.90552460731373</v>
      </c>
      <c r="S79">
        <f t="shared" si="19"/>
        <v>40.948019335356918</v>
      </c>
      <c r="T79">
        <f t="shared" si="20"/>
        <v>40.831746954233324</v>
      </c>
    </row>
    <row r="80" spans="1:20" x14ac:dyDescent="0.4">
      <c r="A80" s="5"/>
      <c r="B80">
        <v>10</v>
      </c>
      <c r="C80">
        <v>0</v>
      </c>
      <c r="E80">
        <v>0</v>
      </c>
      <c r="F80">
        <v>19.720493200875975</v>
      </c>
      <c r="G80">
        <v>22.562944540135653</v>
      </c>
      <c r="H80">
        <v>39.912967936418319</v>
      </c>
      <c r="I80">
        <v>44.523445118659261</v>
      </c>
      <c r="J80">
        <v>40.24780247797549</v>
      </c>
      <c r="K80">
        <v>38.612833488572811</v>
      </c>
      <c r="N80">
        <f t="shared" si="14"/>
        <v>0</v>
      </c>
      <c r="O80">
        <f t="shared" si="15"/>
        <v>19.720493200875975</v>
      </c>
      <c r="P80">
        <f t="shared" si="16"/>
        <v>22.562944540135653</v>
      </c>
      <c r="Q80">
        <f t="shared" si="17"/>
        <v>39.912967936418319</v>
      </c>
      <c r="R80">
        <f t="shared" si="18"/>
        <v>44.523445118659261</v>
      </c>
      <c r="S80">
        <f t="shared" si="19"/>
        <v>40.24780247797549</v>
      </c>
      <c r="T80">
        <f t="shared" si="20"/>
        <v>38.612833488572811</v>
      </c>
    </row>
    <row r="81" spans="1:20" x14ac:dyDescent="0.4">
      <c r="A81" s="5"/>
      <c r="B81">
        <v>11</v>
      </c>
      <c r="C81">
        <v>0</v>
      </c>
      <c r="E81">
        <v>0</v>
      </c>
      <c r="F81">
        <v>15.929418108778261</v>
      </c>
      <c r="G81">
        <v>19.862428304645434</v>
      </c>
      <c r="H81">
        <v>39.619232972954492</v>
      </c>
      <c r="I81">
        <v>44.83764664546495</v>
      </c>
      <c r="J81">
        <v>40.046578981746016</v>
      </c>
      <c r="K81">
        <v>38.781954983431845</v>
      </c>
      <c r="N81">
        <f t="shared" si="14"/>
        <v>0</v>
      </c>
      <c r="O81">
        <f t="shared" si="15"/>
        <v>15.929418108778261</v>
      </c>
      <c r="P81">
        <f t="shared" si="16"/>
        <v>19.862428304645434</v>
      </c>
      <c r="Q81">
        <f t="shared" si="17"/>
        <v>39.619232972954492</v>
      </c>
      <c r="R81">
        <f t="shared" si="18"/>
        <v>44.83764664546495</v>
      </c>
      <c r="S81">
        <f t="shared" si="19"/>
        <v>40.046578981746016</v>
      </c>
      <c r="T81">
        <f t="shared" si="20"/>
        <v>38.781954983431845</v>
      </c>
    </row>
    <row r="82" spans="1:20" x14ac:dyDescent="0.4">
      <c r="A82" s="5"/>
      <c r="B82">
        <v>12</v>
      </c>
      <c r="C82">
        <v>0</v>
      </c>
      <c r="E82">
        <v>0</v>
      </c>
      <c r="F82">
        <v>16.184974070858786</v>
      </c>
      <c r="G82">
        <v>20.522653626287447</v>
      </c>
      <c r="H82">
        <v>34.595429986872141</v>
      </c>
      <c r="I82">
        <v>44.559428747552261</v>
      </c>
      <c r="J82">
        <v>41.328404682837011</v>
      </c>
      <c r="K82">
        <v>36.834210049286277</v>
      </c>
      <c r="N82">
        <f t="shared" si="14"/>
        <v>0</v>
      </c>
      <c r="O82">
        <f t="shared" si="15"/>
        <v>16.184974070858786</v>
      </c>
      <c r="P82">
        <f t="shared" si="16"/>
        <v>20.522653626287447</v>
      </c>
      <c r="Q82">
        <f t="shared" si="17"/>
        <v>34.595429986872141</v>
      </c>
      <c r="R82">
        <f t="shared" si="18"/>
        <v>44.559428747552261</v>
      </c>
      <c r="S82">
        <f t="shared" si="19"/>
        <v>41.328404682837011</v>
      </c>
      <c r="T82">
        <f t="shared" si="20"/>
        <v>36.834210049286277</v>
      </c>
    </row>
    <row r="83" spans="1:20" x14ac:dyDescent="0.4">
      <c r="A83" s="5"/>
      <c r="B83">
        <v>13</v>
      </c>
      <c r="C83">
        <v>0</v>
      </c>
      <c r="E83">
        <v>0</v>
      </c>
      <c r="F83">
        <v>16.868107843653796</v>
      </c>
      <c r="G83">
        <v>22.746463686243565</v>
      </c>
      <c r="H83">
        <v>38.159426352837215</v>
      </c>
      <c r="I83">
        <v>42.366869927625693</v>
      </c>
      <c r="J83">
        <v>51.854278377782443</v>
      </c>
      <c r="K83">
        <v>45.286286885484543</v>
      </c>
      <c r="N83">
        <f t="shared" si="14"/>
        <v>0</v>
      </c>
      <c r="O83">
        <f t="shared" si="15"/>
        <v>16.868107843653796</v>
      </c>
      <c r="P83">
        <f t="shared" si="16"/>
        <v>22.746463686243565</v>
      </c>
      <c r="Q83">
        <f t="shared" si="17"/>
        <v>38.159426352837215</v>
      </c>
      <c r="R83">
        <f t="shared" si="18"/>
        <v>42.366869927625693</v>
      </c>
      <c r="S83">
        <f t="shared" si="19"/>
        <v>51.854278377782443</v>
      </c>
      <c r="T83">
        <f t="shared" si="20"/>
        <v>45.286286885484543</v>
      </c>
    </row>
    <row r="84" spans="1:20" x14ac:dyDescent="0.4">
      <c r="A84" s="5"/>
      <c r="B84">
        <v>14</v>
      </c>
      <c r="C84">
        <v>0</v>
      </c>
      <c r="E84">
        <v>0</v>
      </c>
      <c r="F84">
        <v>16.797282221515712</v>
      </c>
      <c r="G84">
        <v>21.672475173451943</v>
      </c>
      <c r="H84">
        <v>36.715747976758522</v>
      </c>
      <c r="I84">
        <v>37.091180019457227</v>
      </c>
      <c r="J84">
        <v>51.520943074072427</v>
      </c>
      <c r="K84">
        <v>45.235731601133061</v>
      </c>
      <c r="N84">
        <f t="shared" si="14"/>
        <v>0</v>
      </c>
      <c r="O84">
        <f t="shared" si="15"/>
        <v>16.797282221515712</v>
      </c>
      <c r="P84">
        <f t="shared" si="16"/>
        <v>21.672475173451943</v>
      </c>
      <c r="Q84">
        <f t="shared" si="17"/>
        <v>36.715747976758522</v>
      </c>
      <c r="R84">
        <f t="shared" si="18"/>
        <v>37.091180019457227</v>
      </c>
      <c r="S84">
        <f t="shared" si="19"/>
        <v>51.520943074072427</v>
      </c>
      <c r="T84">
        <f t="shared" si="20"/>
        <v>45.235731601133061</v>
      </c>
    </row>
  </sheetData>
  <mergeCells count="6">
    <mergeCell ref="A72:A84"/>
    <mergeCell ref="A2:A14"/>
    <mergeCell ref="A16:A28"/>
    <mergeCell ref="A30:A42"/>
    <mergeCell ref="A44:A56"/>
    <mergeCell ref="A58:A7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72B3-68E4-4311-B6FE-16E821B34AB8}">
  <dimension ref="A1:Z84"/>
  <sheetViews>
    <sheetView zoomScale="70" zoomScaleNormal="70" workbookViewId="0">
      <selection activeCell="V28" sqref="V28"/>
    </sheetView>
  </sheetViews>
  <sheetFormatPr defaultRowHeight="13.9" x14ac:dyDescent="0.4"/>
  <cols>
    <col min="1" max="1" width="11.796875" customWidth="1"/>
    <col min="2" max="2" width="10.59765625" customWidth="1"/>
  </cols>
  <sheetData>
    <row r="1" spans="1:18" x14ac:dyDescent="0.4">
      <c r="A1" t="s">
        <v>24</v>
      </c>
      <c r="B1" t="s">
        <v>14</v>
      </c>
      <c r="C1">
        <v>0</v>
      </c>
      <c r="D1">
        <v>2</v>
      </c>
      <c r="E1">
        <v>4</v>
      </c>
      <c r="F1">
        <v>8</v>
      </c>
      <c r="G1">
        <v>12</v>
      </c>
      <c r="H1">
        <v>16</v>
      </c>
      <c r="I1">
        <v>20</v>
      </c>
      <c r="L1">
        <v>0</v>
      </c>
      <c r="M1">
        <v>2</v>
      </c>
      <c r="N1">
        <v>4</v>
      </c>
      <c r="O1">
        <v>8</v>
      </c>
      <c r="P1">
        <v>12</v>
      </c>
      <c r="Q1">
        <v>16</v>
      </c>
      <c r="R1">
        <v>20</v>
      </c>
    </row>
    <row r="2" spans="1:18" x14ac:dyDescent="0.4">
      <c r="A2" s="5" t="s">
        <v>25</v>
      </c>
      <c r="B2">
        <v>-6</v>
      </c>
      <c r="C2">
        <f>SIN(RADIANS($B2))*L2-COS(RADIANS($B2))*L30</f>
        <v>-36.199255163610367</v>
      </c>
      <c r="D2">
        <f t="shared" ref="D2:I2" si="0">SIN(RADIANS($B2))*M2-COS(RADIANS($B2))*M30</f>
        <v>-34.907463504515661</v>
      </c>
      <c r="E2">
        <f t="shared" si="0"/>
        <v>-35.089046053059704</v>
      </c>
      <c r="F2">
        <f t="shared" si="0"/>
        <v>-36.786857026061313</v>
      </c>
      <c r="G2">
        <f t="shared" si="0"/>
        <v>-40.4443096642269</v>
      </c>
      <c r="H2">
        <f t="shared" si="0"/>
        <v>-45.618115979489545</v>
      </c>
      <c r="I2">
        <f t="shared" si="0"/>
        <v>-41.919901302088114</v>
      </c>
      <c r="L2">
        <v>-26.518403367998559</v>
      </c>
      <c r="M2">
        <v>-26.329950456597171</v>
      </c>
      <c r="N2">
        <v>-26.258621672332481</v>
      </c>
      <c r="O2">
        <v>-24.429985414863729</v>
      </c>
      <c r="P2">
        <v>-23.134276332978569</v>
      </c>
      <c r="Q2">
        <v>-24.228026914641699</v>
      </c>
      <c r="R2">
        <v>-23.991339998504479</v>
      </c>
    </row>
    <row r="3" spans="1:18" x14ac:dyDescent="0.4">
      <c r="A3" s="5"/>
      <c r="B3">
        <v>-4</v>
      </c>
      <c r="C3">
        <f t="shared" ref="C3:C14" si="1">SIN(RADIANS($B3))*L3-COS(RADIANS($B3))*L31</f>
        <v>34.648508264601986</v>
      </c>
      <c r="D3">
        <f t="shared" ref="D3:D14" si="2">SIN(RADIANS($B3))*M3-COS(RADIANS($B3))*M31</f>
        <v>34.384460706733194</v>
      </c>
      <c r="E3">
        <f t="shared" ref="E3:E14" si="3">SIN(RADIANS($B3))*N3-COS(RADIANS($B3))*N31</f>
        <v>33.874876126586358</v>
      </c>
      <c r="F3">
        <f t="shared" ref="F3:F14" si="4">SIN(RADIANS($B3))*O3-COS(RADIANS($B3))*O31</f>
        <v>30.65158426210515</v>
      </c>
      <c r="G3">
        <f t="shared" ref="G3:G14" si="5">SIN(RADIANS($B3))*P3-COS(RADIANS($B3))*P31</f>
        <v>33.321876316250865</v>
      </c>
      <c r="H3">
        <f t="shared" ref="H3:H14" si="6">SIN(RADIANS($B3))*Q3-COS(RADIANS($B3))*Q31</f>
        <v>28.484186837615042</v>
      </c>
      <c r="I3">
        <f t="shared" ref="I3:I14" si="7">SIN(RADIANS($B3))*R3-COS(RADIANS($B3))*R31</f>
        <v>26.568374715792533</v>
      </c>
      <c r="L3">
        <v>-16.975808851644</v>
      </c>
      <c r="M3">
        <v>-16.718775520158591</v>
      </c>
      <c r="N3">
        <v>-16.156237279968959</v>
      </c>
      <c r="O3">
        <v>-14.985698378966919</v>
      </c>
      <c r="P3">
        <v>-13.08368877452182</v>
      </c>
      <c r="Q3">
        <v>-15.094779222141449</v>
      </c>
      <c r="R3">
        <v>-14.99814863386089</v>
      </c>
    </row>
    <row r="4" spans="1:18" x14ac:dyDescent="0.4">
      <c r="A4" s="5"/>
      <c r="B4">
        <v>-2</v>
      </c>
      <c r="C4">
        <f t="shared" si="1"/>
        <v>122.83414370629406</v>
      </c>
      <c r="D4">
        <f t="shared" si="2"/>
        <v>122.54289111820628</v>
      </c>
      <c r="E4">
        <f t="shared" si="3"/>
        <v>121.65415491238826</v>
      </c>
      <c r="F4">
        <f t="shared" si="4"/>
        <v>118.93616452425439</v>
      </c>
      <c r="G4">
        <f t="shared" si="5"/>
        <v>114.00966294015531</v>
      </c>
      <c r="H4">
        <f t="shared" si="6"/>
        <v>112.41214056928445</v>
      </c>
      <c r="I4">
        <f t="shared" si="7"/>
        <v>107.45634900155133</v>
      </c>
      <c r="L4">
        <v>-17.486809415785611</v>
      </c>
      <c r="M4">
        <v>-17.3035874334102</v>
      </c>
      <c r="N4">
        <v>-16.728734394650839</v>
      </c>
      <c r="O4">
        <v>-15.057787913274129</v>
      </c>
      <c r="P4">
        <v>-14.06501633007324</v>
      </c>
      <c r="Q4">
        <v>-15.914477513080911</v>
      </c>
      <c r="R4">
        <v>-15.30279647963113</v>
      </c>
    </row>
    <row r="5" spans="1:18" x14ac:dyDescent="0.4">
      <c r="A5" s="5"/>
      <c r="B5">
        <v>0</v>
      </c>
      <c r="C5">
        <f t="shared" si="1"/>
        <v>209.00878772022941</v>
      </c>
      <c r="D5">
        <f t="shared" si="2"/>
        <v>208.68137422145301</v>
      </c>
      <c r="E5">
        <f t="shared" si="3"/>
        <v>207.69645584291521</v>
      </c>
      <c r="F5">
        <f t="shared" si="4"/>
        <v>204.0194068723502</v>
      </c>
      <c r="G5">
        <f t="shared" si="5"/>
        <v>197.74440929894371</v>
      </c>
      <c r="H5">
        <f t="shared" si="6"/>
        <v>193.33045674745131</v>
      </c>
      <c r="I5">
        <f t="shared" si="7"/>
        <v>185.392636714801</v>
      </c>
      <c r="L5">
        <v>-14.61538981260515</v>
      </c>
      <c r="M5">
        <v>-14.429788537862381</v>
      </c>
      <c r="N5">
        <v>-13.854843613216371</v>
      </c>
      <c r="O5">
        <v>-11.972627077774259</v>
      </c>
      <c r="P5">
        <v>-11.334214425236921</v>
      </c>
      <c r="Q5">
        <v>-13.157958816000191</v>
      </c>
      <c r="R5">
        <v>-12.44528079261349</v>
      </c>
    </row>
    <row r="6" spans="1:18" x14ac:dyDescent="0.4">
      <c r="A6" s="5"/>
      <c r="B6">
        <v>2</v>
      </c>
      <c r="C6">
        <f t="shared" si="1"/>
        <v>293.25791561110839</v>
      </c>
      <c r="D6">
        <f t="shared" si="2"/>
        <v>292.89318204297876</v>
      </c>
      <c r="E6">
        <f t="shared" si="3"/>
        <v>291.79646252089992</v>
      </c>
      <c r="F6">
        <f t="shared" si="4"/>
        <v>287.33516527393687</v>
      </c>
      <c r="G6">
        <f t="shared" si="5"/>
        <v>279.62251140180217</v>
      </c>
      <c r="H6">
        <f t="shared" si="6"/>
        <v>272.17196242153165</v>
      </c>
      <c r="I6">
        <f t="shared" si="7"/>
        <v>260.94114488713734</v>
      </c>
      <c r="L6">
        <v>-7.1362723216725898</v>
      </c>
      <c r="M6">
        <v>-6.9467678433526432</v>
      </c>
      <c r="N6">
        <v>-6.375525175406743</v>
      </c>
      <c r="O6">
        <v>-4.2522932023664683</v>
      </c>
      <c r="P6">
        <v>-4.0591853991519464</v>
      </c>
      <c r="Q6">
        <v>-5.9432739659631162</v>
      </c>
      <c r="R6">
        <v>-5.4940833620700849</v>
      </c>
    </row>
    <row r="7" spans="1:18" x14ac:dyDescent="0.4">
      <c r="A7" s="5"/>
      <c r="B7">
        <v>4</v>
      </c>
      <c r="C7">
        <f t="shared" si="1"/>
        <v>373.54989565965843</v>
      </c>
      <c r="D7">
        <f t="shared" si="2"/>
        <v>373.01751622978696</v>
      </c>
      <c r="E7">
        <f t="shared" si="3"/>
        <v>371.44870940998771</v>
      </c>
      <c r="F7">
        <f t="shared" si="4"/>
        <v>365.42552588111153</v>
      </c>
      <c r="G7">
        <f t="shared" si="5"/>
        <v>355.40292215463251</v>
      </c>
      <c r="H7">
        <f t="shared" si="6"/>
        <v>343.29862880542078</v>
      </c>
      <c r="I7">
        <f t="shared" si="7"/>
        <v>325.22062952161787</v>
      </c>
      <c r="L7">
        <v>4.5280978740082469</v>
      </c>
      <c r="M7">
        <v>4.7208946439078519</v>
      </c>
      <c r="N7">
        <v>5.2858063249688438</v>
      </c>
      <c r="O7">
        <v>7.3108882775569386</v>
      </c>
      <c r="P7">
        <v>7.1670523967193276</v>
      </c>
      <c r="Q7">
        <v>5.5956657282827154</v>
      </c>
      <c r="R7">
        <v>5.7552017662756283</v>
      </c>
    </row>
    <row r="8" spans="1:18" x14ac:dyDescent="0.4">
      <c r="A8" s="5"/>
      <c r="B8">
        <v>6</v>
      </c>
      <c r="C8">
        <f t="shared" si="1"/>
        <v>449.21953557886582</v>
      </c>
      <c r="D8">
        <f t="shared" si="2"/>
        <v>448.37166125145961</v>
      </c>
      <c r="E8">
        <f t="shared" si="3"/>
        <v>446.24840995446101</v>
      </c>
      <c r="F8">
        <f t="shared" si="4"/>
        <v>437.48155572593475</v>
      </c>
      <c r="G8">
        <f t="shared" si="5"/>
        <v>420.23983423178038</v>
      </c>
      <c r="H8">
        <f t="shared" si="6"/>
        <v>398.60345042938548</v>
      </c>
      <c r="I8">
        <f t="shared" si="7"/>
        <v>370.13186994699589</v>
      </c>
      <c r="L8">
        <v>19.869599915439078</v>
      </c>
      <c r="M8">
        <v>20.049228833004559</v>
      </c>
      <c r="N8">
        <v>20.600861334745549</v>
      </c>
      <c r="O8">
        <v>22.346919213608789</v>
      </c>
      <c r="P8">
        <v>21.501319835214439</v>
      </c>
      <c r="Q8">
        <v>19.744853382358158</v>
      </c>
      <c r="R8">
        <v>18.56613887146473</v>
      </c>
    </row>
    <row r="9" spans="1:18" x14ac:dyDescent="0.4">
      <c r="A9" s="5"/>
      <c r="B9">
        <v>8</v>
      </c>
      <c r="C9">
        <f t="shared" si="1"/>
        <v>518.7279772382052</v>
      </c>
      <c r="D9">
        <f t="shared" si="2"/>
        <v>517.76229319538959</v>
      </c>
      <c r="E9">
        <f t="shared" si="3"/>
        <v>514.46019071761714</v>
      </c>
      <c r="F9">
        <f t="shared" si="4"/>
        <v>503.43116445833499</v>
      </c>
      <c r="G9">
        <f t="shared" si="5"/>
        <v>483.27738311523774</v>
      </c>
      <c r="H9">
        <f t="shared" si="6"/>
        <v>459.36062467003768</v>
      </c>
      <c r="I9">
        <f t="shared" si="7"/>
        <v>429.11941662334868</v>
      </c>
      <c r="L9">
        <v>38.146851698196834</v>
      </c>
      <c r="M9">
        <v>38.325317438043598</v>
      </c>
      <c r="N9">
        <v>38.736843607479827</v>
      </c>
      <c r="O9">
        <v>39.989836107135083</v>
      </c>
      <c r="P9">
        <v>38.407618268757624</v>
      </c>
      <c r="Q9">
        <v>36.442834988349198</v>
      </c>
      <c r="R9">
        <v>34.362007275630788</v>
      </c>
    </row>
    <row r="10" spans="1:18" x14ac:dyDescent="0.4">
      <c r="A10" s="5"/>
      <c r="B10">
        <v>10</v>
      </c>
      <c r="C10">
        <f t="shared" si="1"/>
        <v>525.62874045560397</v>
      </c>
      <c r="D10">
        <f t="shared" si="2"/>
        <v>545.25649680958509</v>
      </c>
      <c r="E10">
        <f t="shared" si="3"/>
        <v>546.66231569635306</v>
      </c>
      <c r="F10">
        <f t="shared" si="4"/>
        <v>545.37888231201987</v>
      </c>
      <c r="G10">
        <f t="shared" si="5"/>
        <v>536.01357538205093</v>
      </c>
      <c r="H10">
        <f t="shared" si="6"/>
        <v>519.03173035396696</v>
      </c>
      <c r="I10">
        <f t="shared" si="7"/>
        <v>499.74169149843061</v>
      </c>
      <c r="L10">
        <v>47.218846495612468</v>
      </c>
      <c r="M10">
        <v>50.867690645072948</v>
      </c>
      <c r="N10">
        <v>51.725480079911122</v>
      </c>
      <c r="O10">
        <v>53.792401539971443</v>
      </c>
      <c r="P10">
        <v>54.160634516004272</v>
      </c>
      <c r="Q10">
        <v>50.82381094762286</v>
      </c>
      <c r="R10">
        <v>50.862834361622447</v>
      </c>
    </row>
    <row r="11" spans="1:18" x14ac:dyDescent="0.4">
      <c r="A11" s="5"/>
      <c r="B11">
        <v>11</v>
      </c>
      <c r="C11">
        <f t="shared" si="1"/>
        <v>537.2644399632884</v>
      </c>
      <c r="D11">
        <f t="shared" si="2"/>
        <v>525.40441874352962</v>
      </c>
      <c r="E11">
        <f t="shared" si="3"/>
        <v>529.64422668315615</v>
      </c>
      <c r="F11">
        <f t="shared" si="4"/>
        <v>568.29186372842094</v>
      </c>
      <c r="G11">
        <f t="shared" si="5"/>
        <v>561.56168721774839</v>
      </c>
      <c r="H11">
        <f t="shared" si="6"/>
        <v>567.10156094599051</v>
      </c>
      <c r="I11">
        <f t="shared" si="7"/>
        <v>552.65032950803425</v>
      </c>
      <c r="L11">
        <v>52.180098666225163</v>
      </c>
      <c r="M11">
        <v>49.060777149980929</v>
      </c>
      <c r="N11">
        <v>51.069686184698348</v>
      </c>
      <c r="O11">
        <v>62.039921884802112</v>
      </c>
      <c r="P11">
        <v>62.705302355548802</v>
      </c>
      <c r="Q11">
        <v>61.287734426875062</v>
      </c>
      <c r="R11">
        <v>61.851394123817357</v>
      </c>
    </row>
    <row r="12" spans="1:18" x14ac:dyDescent="0.4">
      <c r="A12" s="5"/>
      <c r="B12">
        <v>12</v>
      </c>
      <c r="C12">
        <f t="shared" si="1"/>
        <v>539.3824850987304</v>
      </c>
      <c r="D12">
        <f t="shared" si="2"/>
        <v>538.68230954134367</v>
      </c>
      <c r="E12">
        <f t="shared" si="3"/>
        <v>539.69598945279665</v>
      </c>
      <c r="F12">
        <f t="shared" si="4"/>
        <v>550.07986296104218</v>
      </c>
      <c r="G12">
        <f t="shared" si="5"/>
        <v>587.76636556757819</v>
      </c>
      <c r="H12">
        <f t="shared" si="6"/>
        <v>587.02280440611605</v>
      </c>
      <c r="I12">
        <f t="shared" si="7"/>
        <v>575.5611767985099</v>
      </c>
      <c r="L12">
        <v>53.85463843279782</v>
      </c>
      <c r="M12">
        <v>54.095063468580008</v>
      </c>
      <c r="N12">
        <v>55.396774418436763</v>
      </c>
      <c r="O12">
        <v>61.403642850685983</v>
      </c>
      <c r="P12">
        <v>68.637188811244599</v>
      </c>
      <c r="Q12">
        <v>68.642822481776506</v>
      </c>
      <c r="R12">
        <v>69.705695340976661</v>
      </c>
    </row>
    <row r="13" spans="1:18" x14ac:dyDescent="0.4">
      <c r="A13" s="5"/>
      <c r="B13">
        <v>13</v>
      </c>
      <c r="C13">
        <f t="shared" si="1"/>
        <v>544.59109152783333</v>
      </c>
      <c r="D13">
        <f t="shared" si="2"/>
        <v>544.47560269815699</v>
      </c>
      <c r="E13">
        <f t="shared" si="3"/>
        <v>537.31054470950312</v>
      </c>
      <c r="F13">
        <f t="shared" si="4"/>
        <v>539.37492675165083</v>
      </c>
      <c r="G13">
        <f t="shared" si="5"/>
        <v>596.27595098818597</v>
      </c>
      <c r="H13">
        <f t="shared" si="6"/>
        <v>591.70652464853242</v>
      </c>
      <c r="I13">
        <f t="shared" si="7"/>
        <v>589.02149576031718</v>
      </c>
      <c r="L13">
        <v>56.46513389777293</v>
      </c>
      <c r="M13">
        <v>56.882829464417981</v>
      </c>
      <c r="N13">
        <v>55.655349362176722</v>
      </c>
      <c r="O13">
        <v>59.546988136788123</v>
      </c>
      <c r="P13">
        <v>73.601648024744293</v>
      </c>
      <c r="Q13">
        <v>73.498784892024617</v>
      </c>
      <c r="R13">
        <v>75.234446847148561</v>
      </c>
    </row>
    <row r="14" spans="1:18" x14ac:dyDescent="0.4">
      <c r="A14" s="5"/>
      <c r="B14">
        <v>14</v>
      </c>
      <c r="C14">
        <f t="shared" si="1"/>
        <v>552.54638180018867</v>
      </c>
      <c r="D14">
        <f t="shared" si="2"/>
        <v>552.43504730484813</v>
      </c>
      <c r="E14">
        <f t="shared" si="3"/>
        <v>544.37747590484457</v>
      </c>
      <c r="F14">
        <f t="shared" si="4"/>
        <v>545.33551549388562</v>
      </c>
      <c r="G14">
        <f t="shared" si="5"/>
        <v>539.96924805821686</v>
      </c>
      <c r="H14">
        <f t="shared" si="6"/>
        <v>599.934684180197</v>
      </c>
      <c r="I14">
        <f t="shared" si="7"/>
        <v>598.91397969211891</v>
      </c>
      <c r="L14">
        <v>60.997928388150058</v>
      </c>
      <c r="M14">
        <v>61.445564558506717</v>
      </c>
      <c r="N14">
        <v>59.883025797522407</v>
      </c>
      <c r="O14">
        <v>63.575622077279853</v>
      </c>
      <c r="P14">
        <v>62.495231670902832</v>
      </c>
      <c r="Q14">
        <v>78.726711763140472</v>
      </c>
      <c r="R14">
        <v>80.827969565604761</v>
      </c>
    </row>
    <row r="15" spans="1:18" x14ac:dyDescent="0.4">
      <c r="A15" s="4"/>
    </row>
    <row r="16" spans="1:18" x14ac:dyDescent="0.4">
      <c r="A16" s="5" t="s">
        <v>26</v>
      </c>
      <c r="B16">
        <v>-6</v>
      </c>
      <c r="C16">
        <f>-COS(RADIANS($B16))*COS(RADIANS(C$1))*L2-SIN(RADIANS(C$1))*L16-SIN(RADIANS($B16))*COS(RADIANS(C$1))*L30</f>
        <v>30.469169178485949</v>
      </c>
      <c r="D16">
        <f t="shared" ref="D16:I16" si="8">-COS(RADIANS($B16))*COS(RADIANS(D$1))*M2-SIN(RADIANS(D$1))*M16-SIN(RADIANS($B16))*COS(RADIANS(D$1))*M30</f>
        <v>30.481276730377758</v>
      </c>
      <c r="E16">
        <f t="shared" si="8"/>
        <v>31.18941114869784</v>
      </c>
      <c r="F16">
        <f t="shared" si="8"/>
        <v>33.035234712190686</v>
      </c>
      <c r="G16">
        <f t="shared" si="8"/>
        <v>37.210000070912287</v>
      </c>
      <c r="H16">
        <f t="shared" si="8"/>
        <v>44.110594121084098</v>
      </c>
      <c r="I16">
        <f t="shared" si="8"/>
        <v>52.121688861751281</v>
      </c>
      <c r="L16">
        <v>0</v>
      </c>
      <c r="M16">
        <v>-10.193102348486635</v>
      </c>
      <c r="N16">
        <v>-16.793324709528346</v>
      </c>
      <c r="O16">
        <v>-35.070830535611321</v>
      </c>
      <c r="P16">
        <v>-49.533728303068109</v>
      </c>
      <c r="Q16">
        <v>-58.351723013645042</v>
      </c>
      <c r="R16">
        <v>-74.009603092409151</v>
      </c>
    </row>
    <row r="17" spans="1:18" x14ac:dyDescent="0.4">
      <c r="A17" s="5"/>
      <c r="B17">
        <v>-4</v>
      </c>
      <c r="C17">
        <f t="shared" ref="C17:C28" si="9">-COS(RADIANS($B17))*COS(RADIANS(C$1))*L3-SIN(RADIANS(C$1))*L17-SIN(RADIANS($B17))*COS(RADIANS(C$1))*L31</f>
        <v>14.594402325163184</v>
      </c>
      <c r="D17">
        <f t="shared" ref="D17:D28" si="10">-COS(RADIANS($B17))*COS(RADIANS(D$1))*M3-SIN(RADIANS(D$1))*M17-SIN(RADIANS($B17))*COS(RADIANS(D$1))*M31</f>
        <v>14.694833035933698</v>
      </c>
      <c r="E17">
        <f t="shared" ref="E17:E28" si="11">-COS(RADIANS($B17))*COS(RADIANS(E$1))*N3-SIN(RADIANS(E$1))*N17-SIN(RADIANS($B17))*COS(RADIANS(E$1))*N31</f>
        <v>15.219330560078429</v>
      </c>
      <c r="F17">
        <f t="shared" ref="F17:F28" si="12">-COS(RADIANS($B17))*COS(RADIANS(F$1))*O3-SIN(RADIANS(F$1))*O17-SIN(RADIANS($B17))*COS(RADIANS(F$1))*O31</f>
        <v>18.063883758027625</v>
      </c>
      <c r="G17">
        <f t="shared" ref="G17:G28" si="13">-COS(RADIANS($B17))*COS(RADIANS(G$1))*P3-SIN(RADIANS(G$1))*P17-SIN(RADIANS($B17))*COS(RADIANS(G$1))*P31</f>
        <v>21.635852758104544</v>
      </c>
      <c r="H17">
        <f t="shared" ref="H17:H28" si="14">-COS(RADIANS($B17))*COS(RADIANS(H$1))*Q3-SIN(RADIANS(H$1))*Q17-SIN(RADIANS($B17))*COS(RADIANS(H$1))*Q31</f>
        <v>29.813591364323567</v>
      </c>
      <c r="I17">
        <f t="shared" ref="I17:I28" si="15">-COS(RADIANS($B17))*COS(RADIANS(I$1))*R3-SIN(RADIANS(I$1))*R17-SIN(RADIANS($B17))*COS(RADIANS(I$1))*R31</f>
        <v>37.946445111677825</v>
      </c>
      <c r="L17">
        <v>0</v>
      </c>
      <c r="M17">
        <v>-9.9821637467984576</v>
      </c>
      <c r="N17">
        <v>-20.443768308160678</v>
      </c>
      <c r="O17">
        <v>-38.15605292487728</v>
      </c>
      <c r="P17">
        <v>-53.320703251042637</v>
      </c>
      <c r="Q17">
        <v>-62.338340586751976</v>
      </c>
      <c r="R17">
        <v>-74.744663242413566</v>
      </c>
    </row>
    <row r="18" spans="1:18" x14ac:dyDescent="0.4">
      <c r="A18" s="5"/>
      <c r="B18">
        <v>-2</v>
      </c>
      <c r="C18">
        <f t="shared" si="9"/>
        <v>13.208005582685876</v>
      </c>
      <c r="D18">
        <f t="shared" si="10"/>
        <v>13.384316592803259</v>
      </c>
      <c r="E18">
        <f t="shared" si="11"/>
        <v>13.91463439413856</v>
      </c>
      <c r="F18">
        <f t="shared" si="12"/>
        <v>16.294244807632754</v>
      </c>
      <c r="G18">
        <f t="shared" si="13"/>
        <v>21.121901461487759</v>
      </c>
      <c r="H18">
        <f t="shared" si="14"/>
        <v>28.517440567783048</v>
      </c>
      <c r="I18">
        <f t="shared" si="15"/>
        <v>36.447652572714631</v>
      </c>
      <c r="L18">
        <v>0</v>
      </c>
      <c r="M18">
        <v>-10.241247515246251</v>
      </c>
      <c r="N18">
        <v>-20.849483548955067</v>
      </c>
      <c r="O18">
        <v>-39.424511569064556</v>
      </c>
      <c r="P18">
        <v>-54.11026972410319</v>
      </c>
      <c r="Q18">
        <v>-61.615700091923635</v>
      </c>
      <c r="R18">
        <v>-74.805886156120536</v>
      </c>
    </row>
    <row r="19" spans="1:18" x14ac:dyDescent="0.4">
      <c r="A19" s="5"/>
      <c r="B19">
        <v>0</v>
      </c>
      <c r="C19">
        <f t="shared" si="9"/>
        <v>14.61538981260515</v>
      </c>
      <c r="D19">
        <f t="shared" si="10"/>
        <v>14.782572947703697</v>
      </c>
      <c r="E19">
        <f t="shared" si="11"/>
        <v>15.286780901566978</v>
      </c>
      <c r="F19">
        <f t="shared" si="12"/>
        <v>17.534401138673655</v>
      </c>
      <c r="G19">
        <f t="shared" si="13"/>
        <v>22.334543842633643</v>
      </c>
      <c r="H19">
        <f t="shared" si="14"/>
        <v>29.726560733573102</v>
      </c>
      <c r="I19">
        <f t="shared" si="15"/>
        <v>37.508091541492668</v>
      </c>
      <c r="L19">
        <v>0</v>
      </c>
      <c r="M19">
        <v>-10.360454485088093</v>
      </c>
      <c r="N19">
        <v>-21.011483413377565</v>
      </c>
      <c r="O19">
        <v>-40.800203526631535</v>
      </c>
      <c r="P19">
        <v>-54.099936141853945</v>
      </c>
      <c r="Q19">
        <v>-61.959377299921648</v>
      </c>
      <c r="R19">
        <v>-75.473195134258248</v>
      </c>
    </row>
    <row r="20" spans="1:18" x14ac:dyDescent="0.4">
      <c r="A20" s="5"/>
      <c r="B20">
        <v>2</v>
      </c>
      <c r="C20">
        <f t="shared" si="9"/>
        <v>17.381414268467029</v>
      </c>
      <c r="D20">
        <f t="shared" si="10"/>
        <v>17.533941610634919</v>
      </c>
      <c r="E20">
        <f t="shared" si="11"/>
        <v>18.004991192123061</v>
      </c>
      <c r="F20">
        <f t="shared" si="12"/>
        <v>20.040924131551101</v>
      </c>
      <c r="G20">
        <f t="shared" si="13"/>
        <v>24.773710519952068</v>
      </c>
      <c r="H20">
        <f t="shared" si="14"/>
        <v>32.319581101426223</v>
      </c>
      <c r="I20">
        <f t="shared" si="15"/>
        <v>39.858690098223981</v>
      </c>
      <c r="L20">
        <v>0</v>
      </c>
      <c r="M20">
        <v>-10.468607312670448</v>
      </c>
      <c r="N20">
        <v>-21.161971464291852</v>
      </c>
      <c r="O20">
        <v>-42.32953036419913</v>
      </c>
      <c r="P20">
        <v>-54.10737237084345</v>
      </c>
      <c r="Q20">
        <v>-63.36873014520517</v>
      </c>
      <c r="R20">
        <v>-76.399198626283521</v>
      </c>
    </row>
    <row r="21" spans="1:18" x14ac:dyDescent="0.4">
      <c r="A21" s="5"/>
      <c r="B21">
        <v>4</v>
      </c>
      <c r="C21">
        <f t="shared" si="9"/>
        <v>21.581998277792728</v>
      </c>
      <c r="D21">
        <f t="shared" si="10"/>
        <v>21.711075806334399</v>
      </c>
      <c r="E21">
        <f t="shared" si="11"/>
        <v>22.112018670720968</v>
      </c>
      <c r="F21">
        <f t="shared" si="12"/>
        <v>23.913191502853536</v>
      </c>
      <c r="G21">
        <f t="shared" si="13"/>
        <v>28.316962349218699</v>
      </c>
      <c r="H21">
        <f t="shared" si="14"/>
        <v>34.875498200021838</v>
      </c>
      <c r="I21">
        <f t="shared" si="15"/>
        <v>42.075918279927734</v>
      </c>
      <c r="L21">
        <v>0</v>
      </c>
      <c r="M21">
        <v>-10.675782712809621</v>
      </c>
      <c r="N21">
        <v>-21.315195144421942</v>
      </c>
      <c r="O21">
        <v>-42.15073030561215</v>
      </c>
      <c r="P21">
        <v>-53.077356684564315</v>
      </c>
      <c r="Q21">
        <v>-62.37070623575508</v>
      </c>
      <c r="R21">
        <v>-76.390506569264886</v>
      </c>
    </row>
    <row r="22" spans="1:18" x14ac:dyDescent="0.4">
      <c r="A22" s="5"/>
      <c r="B22">
        <v>6</v>
      </c>
      <c r="C22">
        <f t="shared" si="9"/>
        <v>27.235828526830499</v>
      </c>
      <c r="D22">
        <f t="shared" si="10"/>
        <v>27.334888938785234</v>
      </c>
      <c r="E22">
        <f t="shared" si="11"/>
        <v>27.6386268476978</v>
      </c>
      <c r="F22">
        <f t="shared" si="12"/>
        <v>29.139194687978268</v>
      </c>
      <c r="G22">
        <f t="shared" si="13"/>
        <v>33.155208299786338</v>
      </c>
      <c r="H22">
        <f t="shared" si="14"/>
        <v>39.2834840047055</v>
      </c>
      <c r="I22">
        <f t="shared" si="15"/>
        <v>45.76258369132529</v>
      </c>
      <c r="L22">
        <v>0</v>
      </c>
      <c r="M22">
        <v>-11.038009468890493</v>
      </c>
      <c r="N22">
        <v>-21.706356786699523</v>
      </c>
      <c r="O22">
        <v>-42.083215060168804</v>
      </c>
      <c r="P22">
        <v>-53.38195159760744</v>
      </c>
      <c r="Q22">
        <v>-65.651584669949415</v>
      </c>
      <c r="R22">
        <v>-78.208328352224044</v>
      </c>
    </row>
    <row r="23" spans="1:18" x14ac:dyDescent="0.4">
      <c r="A23" s="5"/>
      <c r="B23">
        <v>8</v>
      </c>
      <c r="C23">
        <f t="shared" si="9"/>
        <v>34.380720254922629</v>
      </c>
      <c r="D23">
        <f t="shared" si="10"/>
        <v>34.442088341377882</v>
      </c>
      <c r="E23">
        <f t="shared" si="11"/>
        <v>34.646348164378203</v>
      </c>
      <c r="F23">
        <f t="shared" si="12"/>
        <v>35.982743370584615</v>
      </c>
      <c r="G23">
        <f t="shared" si="13"/>
        <v>39.787215791764666</v>
      </c>
      <c r="H23">
        <f t="shared" si="14"/>
        <v>45.282824648751571</v>
      </c>
      <c r="I23">
        <f t="shared" si="15"/>
        <v>51.114689568160372</v>
      </c>
      <c r="L23">
        <v>0</v>
      </c>
      <c r="M23">
        <v>-11.405811988783906</v>
      </c>
      <c r="N23">
        <v>-22.106243586487267</v>
      </c>
      <c r="O23">
        <v>-42.454347566861721</v>
      </c>
      <c r="P23">
        <v>-54.29590541293539</v>
      </c>
      <c r="Q23">
        <v>-67.480600800440044</v>
      </c>
      <c r="R23">
        <v>-79.088934121897523</v>
      </c>
    </row>
    <row r="24" spans="1:18" x14ac:dyDescent="0.4">
      <c r="A24" s="5"/>
      <c r="B24">
        <v>10</v>
      </c>
      <c r="C24">
        <f t="shared" si="9"/>
        <v>44.73525546393715</v>
      </c>
      <c r="D24">
        <f t="shared" si="10"/>
        <v>44.839701722382557</v>
      </c>
      <c r="E24">
        <f t="shared" si="11"/>
        <v>45.052902989111487</v>
      </c>
      <c r="F24">
        <f t="shared" si="12"/>
        <v>46.461184898146932</v>
      </c>
      <c r="G24">
        <f t="shared" si="13"/>
        <v>49.666598058930944</v>
      </c>
      <c r="H24">
        <f t="shared" si="14"/>
        <v>56.035335729758138</v>
      </c>
      <c r="I24">
        <f t="shared" si="15"/>
        <v>60.177432716499496</v>
      </c>
      <c r="L24">
        <v>0</v>
      </c>
      <c r="M24">
        <v>-10.767474041112168</v>
      </c>
      <c r="N24">
        <v>-18.519805813400165</v>
      </c>
      <c r="O24">
        <v>-38.245183004010954</v>
      </c>
      <c r="P24">
        <v>-52.967895012670155</v>
      </c>
      <c r="Q24">
        <v>-64.105932682403846</v>
      </c>
      <c r="R24">
        <v>-75.745255179489874</v>
      </c>
    </row>
    <row r="25" spans="1:18" x14ac:dyDescent="0.4">
      <c r="A25" s="5"/>
      <c r="B25">
        <v>11</v>
      </c>
      <c r="C25">
        <f t="shared" si="9"/>
        <v>51.276890273073306</v>
      </c>
      <c r="D25">
        <f t="shared" si="10"/>
        <v>52.545694873702416</v>
      </c>
      <c r="E25">
        <f t="shared" si="11"/>
        <v>52.185733575338681</v>
      </c>
      <c r="F25">
        <f t="shared" si="12"/>
        <v>51.944031840592288</v>
      </c>
      <c r="G25">
        <f t="shared" si="13"/>
        <v>55.060416501732078</v>
      </c>
      <c r="H25">
        <f t="shared" si="14"/>
        <v>62.976601266131809</v>
      </c>
      <c r="I25">
        <f t="shared" si="15"/>
        <v>66.968813358105564</v>
      </c>
      <c r="L25">
        <v>0</v>
      </c>
      <c r="M25">
        <v>-12.270153869715273</v>
      </c>
      <c r="N25">
        <v>-19.825002546046044</v>
      </c>
      <c r="O25">
        <v>-36.934970659537676</v>
      </c>
      <c r="P25">
        <v>-51.811634907423489</v>
      </c>
      <c r="Q25">
        <v>-61.782979524609615</v>
      </c>
      <c r="R25">
        <v>-73.773693566653208</v>
      </c>
    </row>
    <row r="26" spans="1:18" x14ac:dyDescent="0.4">
      <c r="A26" s="5"/>
      <c r="B26">
        <v>12</v>
      </c>
      <c r="C26">
        <f t="shared" si="9"/>
        <v>59.591503365990462</v>
      </c>
      <c r="D26">
        <f t="shared" si="10"/>
        <v>59.595269083710036</v>
      </c>
      <c r="E26">
        <f t="shared" si="11"/>
        <v>59.357977554217825</v>
      </c>
      <c r="F26">
        <f t="shared" si="12"/>
        <v>58.84886307185473</v>
      </c>
      <c r="G26">
        <f t="shared" si="13"/>
        <v>63.974557963204333</v>
      </c>
      <c r="H26">
        <f t="shared" si="14"/>
        <v>69.412724586143725</v>
      </c>
      <c r="I26">
        <f t="shared" si="15"/>
        <v>72.754396038017234</v>
      </c>
      <c r="L26">
        <v>0</v>
      </c>
      <c r="M26">
        <v>-12.448604761545377</v>
      </c>
      <c r="N26">
        <v>-20.326554200975867</v>
      </c>
      <c r="O26">
        <v>-37.565999920561239</v>
      </c>
      <c r="P26">
        <v>-50.060907410000453</v>
      </c>
      <c r="Q26">
        <v>-61.416204570319557</v>
      </c>
      <c r="R26">
        <v>-72.388524946326015</v>
      </c>
    </row>
    <row r="27" spans="1:18" x14ac:dyDescent="0.4">
      <c r="A27" s="5"/>
      <c r="B27">
        <v>13</v>
      </c>
      <c r="C27">
        <f t="shared" si="9"/>
        <v>67.778361337738616</v>
      </c>
      <c r="D27">
        <f t="shared" si="10"/>
        <v>67.719005543406809</v>
      </c>
      <c r="E27">
        <f t="shared" si="11"/>
        <v>68.215030668190622</v>
      </c>
      <c r="F27">
        <f t="shared" si="12"/>
        <v>68.169950428121894</v>
      </c>
      <c r="G27">
        <f t="shared" si="13"/>
        <v>70.631230962006015</v>
      </c>
      <c r="H27">
        <f t="shared" si="14"/>
        <v>76.281867333377079</v>
      </c>
      <c r="I27">
        <f t="shared" si="15"/>
        <v>80.45181675610533</v>
      </c>
      <c r="L27">
        <v>0</v>
      </c>
      <c r="M27">
        <v>-12.521697512417505</v>
      </c>
      <c r="N27">
        <v>-20.778939030775202</v>
      </c>
      <c r="O27">
        <v>-38.627210553530183</v>
      </c>
      <c r="P27">
        <v>-47.449479283753156</v>
      </c>
      <c r="Q27">
        <v>-63.407727852272444</v>
      </c>
      <c r="R27">
        <v>-73.748145333375433</v>
      </c>
    </row>
    <row r="28" spans="1:18" x14ac:dyDescent="0.4">
      <c r="A28" s="5"/>
      <c r="B28">
        <v>14</v>
      </c>
      <c r="C28">
        <f t="shared" si="9"/>
        <v>74.899989493530128</v>
      </c>
      <c r="D28">
        <f t="shared" si="10"/>
        <v>74.804897491084049</v>
      </c>
      <c r="E28">
        <f t="shared" si="11"/>
        <v>75.266467418026451</v>
      </c>
      <c r="F28">
        <f t="shared" si="12"/>
        <v>75.092998158276401</v>
      </c>
      <c r="G28">
        <f t="shared" si="13"/>
        <v>79.071905525157774</v>
      </c>
      <c r="H28">
        <f t="shared" si="14"/>
        <v>83.427282985201998</v>
      </c>
      <c r="I28">
        <f t="shared" si="15"/>
        <v>87.29188896956336</v>
      </c>
      <c r="L28">
        <v>0</v>
      </c>
      <c r="M28">
        <v>-12.588601232793614</v>
      </c>
      <c r="N28">
        <v>-20.563988460167202</v>
      </c>
      <c r="O28">
        <v>-38.319593763745303</v>
      </c>
      <c r="P28">
        <v>-49.950950291087786</v>
      </c>
      <c r="Q28">
        <v>-63.978922870597501</v>
      </c>
      <c r="R28">
        <v>-73.82600571310914</v>
      </c>
    </row>
    <row r="29" spans="1:18" x14ac:dyDescent="0.4">
      <c r="A29" s="4"/>
    </row>
    <row r="30" spans="1:18" x14ac:dyDescent="0.4">
      <c r="A30" s="5" t="s">
        <v>27</v>
      </c>
      <c r="B30">
        <v>-6</v>
      </c>
      <c r="C30">
        <f>-COS(RADIANS($B30))*SIN(RADIANS(C$1))*L2+COS(RADIANS(C$1))*L16-SIN(RADIANS($B30))*SIN(RADIANS(C$1))*L30</f>
        <v>0</v>
      </c>
      <c r="D30">
        <f t="shared" ref="D30:I30" si="16">-COS(RADIANS($B30))*SIN(RADIANS(D$1))*M2+COS(RADIANS(D$1))*M16-SIN(RADIANS($B30))*SIN(RADIANS(D$1))*M30</f>
        <v>-9.1348858573947673</v>
      </c>
      <c r="E30">
        <f t="shared" si="16"/>
        <v>-14.653356208889219</v>
      </c>
      <c r="F30">
        <f t="shared" si="16"/>
        <v>-30.772692204947514</v>
      </c>
      <c r="G30">
        <f t="shared" si="16"/>
        <v>-42.731111584426998</v>
      </c>
      <c r="H30">
        <f t="shared" si="16"/>
        <v>-48.054755205346936</v>
      </c>
      <c r="I30">
        <f t="shared" si="16"/>
        <v>-59.788631255344626</v>
      </c>
      <c r="L30">
        <v>39.185847287502831</v>
      </c>
      <c r="M30">
        <v>37.867132879675573</v>
      </c>
      <c r="N30">
        <v>38.04221867833828</v>
      </c>
      <c r="O30">
        <v>39.557184253404849</v>
      </c>
      <c r="P30">
        <v>43.098598651013447</v>
      </c>
      <c r="Q30">
        <v>48.415861556325133</v>
      </c>
      <c r="R30">
        <v>44.672399281276682</v>
      </c>
    </row>
    <row r="31" spans="1:18" x14ac:dyDescent="0.4">
      <c r="A31" s="5"/>
      <c r="B31">
        <v>-4</v>
      </c>
      <c r="C31">
        <f t="shared" ref="C31:C42" si="17">-COS(RADIANS($B31))*SIN(RADIANS(C$1))*L3+COS(RADIANS(C$1))*L17-SIN(RADIANS($B31))*SIN(RADIANS(C$1))*L31</f>
        <v>0</v>
      </c>
      <c r="D31">
        <f t="shared" ref="D31:D42" si="18">-COS(RADIANS($B31))*SIN(RADIANS(D$1))*M3+COS(RADIANS(D$1))*M17-SIN(RADIANS($B31))*SIN(RADIANS(D$1))*M31</f>
        <v>-9.4750934406326639</v>
      </c>
      <c r="E31">
        <f t="shared" ref="E31:E42" si="19">-COS(RADIANS($B31))*SIN(RADIANS(E$1))*N3+COS(RADIANS(E$1))*N17-SIN(RADIANS($B31))*SIN(RADIANS(E$1))*N31</f>
        <v>-19.429450640783575</v>
      </c>
      <c r="F31">
        <f t="shared" ref="F31:F42" si="20">-COS(RADIANS($B31))*SIN(RADIANS(F$1))*O3+COS(RADIANS(F$1))*O17-SIN(RADIANS($B31))*SIN(RADIANS(F$1))*O31</f>
        <v>-35.992321000700578</v>
      </c>
      <c r="G31">
        <f t="shared" ref="G31:G42" si="21">-COS(RADIANS($B31))*SIN(RADIANS(G$1))*P3+COS(RADIANS(G$1))*P17-SIN(RADIANS($B31))*SIN(RADIANS(G$1))*P31</f>
        <v>-49.91307700923106</v>
      </c>
      <c r="H31">
        <f t="shared" ref="H31:H42" si="22">-COS(RADIANS($B31))*SIN(RADIANS(H$1))*Q3+COS(RADIANS(H$1))*Q17-SIN(RADIANS($B31))*SIN(RADIANS(H$1))*Q31</f>
        <v>-56.301630788328069</v>
      </c>
      <c r="I31">
        <f t="shared" ref="I31:I42" si="23">-COS(RADIANS($B31))*SIN(RADIANS(I$1))*R3+COS(RADIANS(I$1))*R17-SIN(RADIANS($B31))*SIN(RADIANS(I$1))*R31</f>
        <v>-65.730232716906883</v>
      </c>
      <c r="L31">
        <v>-33.546052197290912</v>
      </c>
      <c r="M31">
        <v>-33.299333383631208</v>
      </c>
      <c r="N31">
        <v>-32.827840955608693</v>
      </c>
      <c r="O31">
        <v>-29.678530194511481</v>
      </c>
      <c r="P31">
        <v>-32.488344297625169</v>
      </c>
      <c r="Q31">
        <v>-27.498212530802071</v>
      </c>
      <c r="R31">
        <v>-25.584479260010081</v>
      </c>
    </row>
    <row r="32" spans="1:18" x14ac:dyDescent="0.4">
      <c r="A32" s="5"/>
      <c r="B32">
        <v>-2</v>
      </c>
      <c r="C32">
        <f t="shared" si="17"/>
        <v>0</v>
      </c>
      <c r="D32">
        <f t="shared" si="18"/>
        <v>-9.7800993747401339</v>
      </c>
      <c r="E32">
        <f t="shared" si="19"/>
        <v>-19.927389840285063</v>
      </c>
      <c r="F32">
        <f t="shared" si="20"/>
        <v>-37.521952049410821</v>
      </c>
      <c r="G32">
        <f t="shared" si="21"/>
        <v>-50.829526587459988</v>
      </c>
      <c r="H32">
        <f t="shared" si="22"/>
        <v>-55.921533549382985</v>
      </c>
      <c r="I32">
        <f t="shared" si="23"/>
        <v>-66.340900652362919</v>
      </c>
      <c r="L32">
        <v>-122.29836371753611</v>
      </c>
      <c r="M32">
        <v>-122.01333185070609</v>
      </c>
      <c r="N32">
        <v>-121.1441282312588</v>
      </c>
      <c r="O32">
        <v>-118.4828318444888</v>
      </c>
      <c r="P32">
        <v>-113.58799568705091</v>
      </c>
      <c r="Q32">
        <v>-111.9249149478709</v>
      </c>
      <c r="R32">
        <v>-106.9874629780131</v>
      </c>
    </row>
    <row r="33" spans="1:26" x14ac:dyDescent="0.4">
      <c r="A33" s="5"/>
      <c r="B33">
        <v>0</v>
      </c>
      <c r="C33">
        <f t="shared" si="17"/>
        <v>0</v>
      </c>
      <c r="D33">
        <f t="shared" si="18"/>
        <v>-9.8505508186509747</v>
      </c>
      <c r="E33">
        <f t="shared" si="19"/>
        <v>-19.993835461081748</v>
      </c>
      <c r="F33">
        <f t="shared" si="20"/>
        <v>-38.736871113528125</v>
      </c>
      <c r="G33">
        <f t="shared" si="21"/>
        <v>-50.561207051764491</v>
      </c>
      <c r="H33">
        <f t="shared" si="22"/>
        <v>-55.932351126613597</v>
      </c>
      <c r="I33">
        <f t="shared" si="23"/>
        <v>-66.665067814379555</v>
      </c>
      <c r="L33">
        <v>-209.00878772022941</v>
      </c>
      <c r="M33">
        <v>-208.68137422145301</v>
      </c>
      <c r="N33">
        <v>-207.69645584291521</v>
      </c>
      <c r="O33">
        <v>-204.0194068723502</v>
      </c>
      <c r="P33">
        <v>-197.74440929894371</v>
      </c>
      <c r="Q33">
        <v>-193.33045674745131</v>
      </c>
      <c r="R33">
        <v>-185.392636714801</v>
      </c>
    </row>
    <row r="34" spans="1:26" x14ac:dyDescent="0.4">
      <c r="A34" s="5"/>
      <c r="B34">
        <v>2</v>
      </c>
      <c r="C34">
        <f t="shared" si="17"/>
        <v>0</v>
      </c>
      <c r="D34">
        <f t="shared" si="18"/>
        <v>-9.862689659307744</v>
      </c>
      <c r="E34">
        <f t="shared" si="19"/>
        <v>-19.954615208668173</v>
      </c>
      <c r="F34">
        <f t="shared" si="20"/>
        <v>-39.928958687876857</v>
      </c>
      <c r="G34">
        <f t="shared" si="21"/>
        <v>-50.050348528262276</v>
      </c>
      <c r="H34">
        <f t="shared" si="22"/>
        <v>-56.654963470831497</v>
      </c>
      <c r="I34">
        <f t="shared" si="23"/>
        <v>-66.794952240468618</v>
      </c>
      <c r="L34">
        <v>-293.68587342242893</v>
      </c>
      <c r="M34">
        <v>-293.31429989082721</v>
      </c>
      <c r="N34">
        <v>-292.19696363608512</v>
      </c>
      <c r="O34">
        <v>-287.65880213651178</v>
      </c>
      <c r="P34">
        <v>-279.93470358709737</v>
      </c>
      <c r="Q34">
        <v>-272.54540698971653</v>
      </c>
      <c r="R34">
        <v>-261.29205769298659</v>
      </c>
    </row>
    <row r="35" spans="1:26" x14ac:dyDescent="0.4">
      <c r="A35" s="5"/>
      <c r="B35">
        <v>4</v>
      </c>
      <c r="C35">
        <f t="shared" si="17"/>
        <v>0</v>
      </c>
      <c r="D35">
        <f t="shared" si="18"/>
        <v>-9.9241226016468094</v>
      </c>
      <c r="E35">
        <f t="shared" si="19"/>
        <v>-19.821021707266016</v>
      </c>
      <c r="F35">
        <f t="shared" si="20"/>
        <v>-39.204189770194098</v>
      </c>
      <c r="G35">
        <f t="shared" si="21"/>
        <v>-48.244180252871423</v>
      </c>
      <c r="H35">
        <f t="shared" si="22"/>
        <v>-54.883822326449845</v>
      </c>
      <c r="I35">
        <f t="shared" si="23"/>
        <v>-65.978697285875967</v>
      </c>
      <c r="L35">
        <v>-374.14543098459421</v>
      </c>
      <c r="M35">
        <v>-373.59826987494239</v>
      </c>
      <c r="N35">
        <v>-371.98612971589392</v>
      </c>
      <c r="O35">
        <v>-365.80663066184718</v>
      </c>
      <c r="P35">
        <v>-355.76961074315022</v>
      </c>
      <c r="Q35">
        <v>-343.74564200328939</v>
      </c>
      <c r="R35">
        <v>-325.61234224119698</v>
      </c>
    </row>
    <row r="36" spans="1:26" x14ac:dyDescent="0.4">
      <c r="A36" s="5"/>
      <c r="B36">
        <v>6</v>
      </c>
      <c r="C36">
        <f t="shared" si="17"/>
        <v>0</v>
      </c>
      <c r="D36">
        <f t="shared" si="18"/>
        <v>-10.090182268918754</v>
      </c>
      <c r="E36">
        <f t="shared" si="19"/>
        <v>-19.826680435730378</v>
      </c>
      <c r="F36">
        <f t="shared" si="20"/>
        <v>-38.401544163985257</v>
      </c>
      <c r="G36">
        <f t="shared" si="21"/>
        <v>-47.527179073698228</v>
      </c>
      <c r="H36">
        <f t="shared" si="22"/>
        <v>-57.032948720689348</v>
      </c>
      <c r="I36">
        <f t="shared" si="23"/>
        <v>-66.571346348176149</v>
      </c>
      <c r="L36">
        <v>-449.60558326208007</v>
      </c>
      <c r="M36">
        <v>-448.73415884583147</v>
      </c>
      <c r="N36">
        <v>-446.54123317486221</v>
      </c>
      <c r="O36">
        <v>-437.54257058426509</v>
      </c>
      <c r="P36">
        <v>-420.2947529439719</v>
      </c>
      <c r="Q36">
        <v>-398.72380195414718</v>
      </c>
      <c r="R36">
        <v>-370.21927993410941</v>
      </c>
    </row>
    <row r="37" spans="1:26" x14ac:dyDescent="0.4">
      <c r="A37" s="5"/>
      <c r="B37">
        <v>8</v>
      </c>
      <c r="C37">
        <f t="shared" si="17"/>
        <v>0</v>
      </c>
      <c r="D37">
        <f t="shared" si="18"/>
        <v>-10.210020108671435</v>
      </c>
      <c r="E37">
        <f t="shared" si="19"/>
        <v>-19.737516107663168</v>
      </c>
      <c r="F37">
        <f t="shared" si="20"/>
        <v>-37.814525958121763</v>
      </c>
      <c r="G37">
        <f t="shared" si="21"/>
        <v>-47.05187445147503</v>
      </c>
      <c r="H37">
        <f t="shared" si="22"/>
        <v>-57.215389922145022</v>
      </c>
      <c r="I37">
        <f t="shared" si="23"/>
        <v>-65.560460204767537</v>
      </c>
      <c r="L37">
        <v>-518.46462367301683</v>
      </c>
      <c r="M37">
        <v>-517.46436757619654</v>
      </c>
      <c r="N37">
        <v>-514.0719772155054</v>
      </c>
      <c r="O37">
        <v>-502.758465789073</v>
      </c>
      <c r="P37">
        <v>-482.62898791398868</v>
      </c>
      <c r="Q37">
        <v>-458.75331807299608</v>
      </c>
      <c r="R37">
        <v>-428.50735362479492</v>
      </c>
    </row>
    <row r="38" spans="1:26" x14ac:dyDescent="0.4">
      <c r="A38" s="5"/>
      <c r="B38">
        <v>10</v>
      </c>
      <c r="C38">
        <f t="shared" si="17"/>
        <v>0</v>
      </c>
      <c r="D38">
        <f t="shared" si="18"/>
        <v>-9.2082004056005928</v>
      </c>
      <c r="E38">
        <f t="shared" si="19"/>
        <v>-15.414623416850766</v>
      </c>
      <c r="F38">
        <f t="shared" si="20"/>
        <v>-32.091346606622977</v>
      </c>
      <c r="G38">
        <f t="shared" si="21"/>
        <v>-43.594267982748278</v>
      </c>
      <c r="H38">
        <f t="shared" si="22"/>
        <v>-50.62149164493276</v>
      </c>
      <c r="I38">
        <f t="shared" si="23"/>
        <v>-58.703622649166135</v>
      </c>
      <c r="L38">
        <v>-525.41145439549769</v>
      </c>
      <c r="M38">
        <v>-544.69861085698949</v>
      </c>
      <c r="N38">
        <v>-545.97486534497671</v>
      </c>
      <c r="O38">
        <v>-544.30717891152824</v>
      </c>
      <c r="P38">
        <v>-534.73246761749874</v>
      </c>
      <c r="Q38">
        <v>-518.07702228203209</v>
      </c>
      <c r="R38">
        <v>-498.48252260304298</v>
      </c>
    </row>
    <row r="39" spans="1:26" x14ac:dyDescent="0.4">
      <c r="A39" s="5"/>
      <c r="B39">
        <v>11</v>
      </c>
      <c r="C39">
        <f t="shared" si="17"/>
        <v>0</v>
      </c>
      <c r="D39">
        <f t="shared" si="18"/>
        <v>-10.442696973583953</v>
      </c>
      <c r="E39">
        <f t="shared" si="19"/>
        <v>-16.224231203865617</v>
      </c>
      <c r="F39">
        <f t="shared" si="20"/>
        <v>-29.997694169482884</v>
      </c>
      <c r="G39">
        <f t="shared" si="21"/>
        <v>-41.265684836457524</v>
      </c>
      <c r="H39">
        <f t="shared" si="22"/>
        <v>-46.214548921464697</v>
      </c>
      <c r="I39">
        <f t="shared" si="23"/>
        <v>-54.133670200602282</v>
      </c>
      <c r="L39">
        <v>-537.17747088678777</v>
      </c>
      <c r="M39">
        <v>-525.70180394832391</v>
      </c>
      <c r="N39">
        <v>-529.63047472062726</v>
      </c>
      <c r="O39">
        <v>-566.86906999250812</v>
      </c>
      <c r="P39">
        <v>-559.88358995949272</v>
      </c>
      <c r="Q39">
        <v>-565.80269910659604</v>
      </c>
      <c r="R39">
        <v>-550.97142403194823</v>
      </c>
    </row>
    <row r="40" spans="1:26" x14ac:dyDescent="0.4">
      <c r="A40" s="5"/>
      <c r="B40">
        <v>12</v>
      </c>
      <c r="C40">
        <f t="shared" si="17"/>
        <v>0</v>
      </c>
      <c r="D40">
        <f t="shared" si="18"/>
        <v>-10.375080083135146</v>
      </c>
      <c r="E40">
        <f t="shared" si="19"/>
        <v>-16.225475440895167</v>
      </c>
      <c r="F40">
        <f t="shared" si="20"/>
        <v>-29.664514171609753</v>
      </c>
      <c r="G40">
        <f t="shared" si="21"/>
        <v>-37.581085786004778</v>
      </c>
      <c r="H40">
        <f t="shared" si="22"/>
        <v>-43.987464479240515</v>
      </c>
      <c r="I40">
        <f t="shared" si="23"/>
        <v>-50.553824660345022</v>
      </c>
      <c r="L40">
        <v>-539.98545390035599</v>
      </c>
      <c r="M40">
        <v>-539.21853208556206</v>
      </c>
      <c r="N40">
        <v>-539.97817100545001</v>
      </c>
      <c r="O40">
        <v>-549.31722712450971</v>
      </c>
      <c r="P40">
        <v>-586.30813095959991</v>
      </c>
      <c r="Q40">
        <v>-585.54676072583425</v>
      </c>
      <c r="R40">
        <v>-573.60315293890881</v>
      </c>
    </row>
    <row r="41" spans="1:26" x14ac:dyDescent="0.4">
      <c r="A41" s="5"/>
      <c r="B41">
        <v>13</v>
      </c>
      <c r="C41">
        <f t="shared" si="17"/>
        <v>0</v>
      </c>
      <c r="D41">
        <f t="shared" si="18"/>
        <v>-10.164530258956074</v>
      </c>
      <c r="E41">
        <f t="shared" si="19"/>
        <v>-16.059619460867886</v>
      </c>
      <c r="F41">
        <f t="shared" si="20"/>
        <v>-29.426160531648033</v>
      </c>
      <c r="G41">
        <f t="shared" si="21"/>
        <v>-33.496397277182879</v>
      </c>
      <c r="H41">
        <f t="shared" si="22"/>
        <v>-44.089550039073615</v>
      </c>
      <c r="I41">
        <f t="shared" si="23"/>
        <v>-49.199070433240081</v>
      </c>
      <c r="L41">
        <v>-545.88007097806064</v>
      </c>
      <c r="M41">
        <v>-545.66511169784712</v>
      </c>
      <c r="N41">
        <v>-538.59496936236076</v>
      </c>
      <c r="O41">
        <v>-539.81519752786323</v>
      </c>
      <c r="P41">
        <v>-594.96817853425318</v>
      </c>
      <c r="Q41">
        <v>-590.30230533699194</v>
      </c>
      <c r="R41">
        <v>-587.14594002348781</v>
      </c>
    </row>
    <row r="42" spans="1:26" x14ac:dyDescent="0.4">
      <c r="A42" s="5"/>
      <c r="B42">
        <v>14</v>
      </c>
      <c r="C42">
        <f t="shared" si="17"/>
        <v>0</v>
      </c>
      <c r="D42">
        <f t="shared" si="18"/>
        <v>-9.9840299607652412</v>
      </c>
      <c r="E42">
        <f t="shared" si="19"/>
        <v>-15.351059511336642</v>
      </c>
      <c r="F42">
        <f t="shared" si="20"/>
        <v>-28.14254970887319</v>
      </c>
      <c r="G42">
        <f t="shared" si="21"/>
        <v>-34.259631871539845</v>
      </c>
      <c r="H42">
        <f t="shared" si="22"/>
        <v>-42.634848926914557</v>
      </c>
      <c r="I42">
        <f t="shared" si="23"/>
        <v>-46.792345032779139</v>
      </c>
      <c r="L42">
        <v>-554.25334026865812</v>
      </c>
      <c r="M42">
        <v>-554.02698918798797</v>
      </c>
      <c r="N42">
        <v>-546.11233095232569</v>
      </c>
      <c r="O42">
        <v>-546.17903195450992</v>
      </c>
      <c r="P42">
        <v>-540.91785517888616</v>
      </c>
      <c r="Q42">
        <v>-598.6720884215232</v>
      </c>
      <c r="R42">
        <v>-597.09623405322418</v>
      </c>
    </row>
    <row r="43" spans="1:26" x14ac:dyDescent="0.4">
      <c r="A43" s="4"/>
    </row>
    <row r="44" spans="1:26" x14ac:dyDescent="0.4">
      <c r="A44" s="5" t="s">
        <v>28</v>
      </c>
      <c r="B44">
        <v>-6</v>
      </c>
      <c r="C44">
        <f>COS(RADIANS($B16))*COS(RADIANS(C$1))*T44+SIN(RADIANS(C$1))*T58+SIN(RADIANS($B16))*COS(RADIANS(C$1))*T72</f>
        <v>0</v>
      </c>
      <c r="D44">
        <f t="shared" ref="D44:I44" si="24">COS(RADIANS($B16))*COS(RADIANS(D$1))*U44+SIN(RADIANS(D$1))*U58+SIN(RADIANS($B16))*COS(RADIANS(D$1))*U72</f>
        <v>-5.112416630903307</v>
      </c>
      <c r="E44">
        <f t="shared" si="24"/>
        <v>-4.3581354408239958</v>
      </c>
      <c r="F44">
        <f t="shared" si="24"/>
        <v>-11.793837615385563</v>
      </c>
      <c r="G44">
        <f t="shared" si="24"/>
        <v>-14.315908035168613</v>
      </c>
      <c r="H44">
        <f t="shared" si="24"/>
        <v>-10.362115200684896</v>
      </c>
      <c r="I44">
        <f t="shared" si="24"/>
        <v>-14.707341517998312</v>
      </c>
      <c r="L44">
        <v>0</v>
      </c>
      <c r="M44">
        <v>-5.0627619867752607</v>
      </c>
      <c r="N44">
        <v>-5.059480601926813</v>
      </c>
      <c r="O44">
        <v>-12.465506853336734</v>
      </c>
      <c r="P44">
        <v>-14.920397158936854</v>
      </c>
      <c r="Q44">
        <v>-12.555419762209814</v>
      </c>
      <c r="R44">
        <v>-12.658067601273803</v>
      </c>
      <c r="T44">
        <f>L44</f>
        <v>0</v>
      </c>
      <c r="U44">
        <f t="shared" ref="U44:Z44" si="25">M44</f>
        <v>-5.0627619867752607</v>
      </c>
      <c r="V44">
        <f t="shared" si="25"/>
        <v>-5.059480601926813</v>
      </c>
      <c r="W44">
        <f t="shared" si="25"/>
        <v>-12.465506853336734</v>
      </c>
      <c r="X44">
        <f t="shared" si="25"/>
        <v>-14.920397158936854</v>
      </c>
      <c r="Y44">
        <f t="shared" si="25"/>
        <v>-12.555419762209814</v>
      </c>
      <c r="Z44">
        <f t="shared" si="25"/>
        <v>-12.658067601273803</v>
      </c>
    </row>
    <row r="45" spans="1:26" x14ac:dyDescent="0.4">
      <c r="A45" s="5"/>
      <c r="B45">
        <v>-4</v>
      </c>
      <c r="C45">
        <f t="shared" ref="C45:C56" si="26">COS(RADIANS($B17))*COS(RADIANS(C$1))*T45+SIN(RADIANS(C$1))*T59+SIN(RADIANS($B17))*COS(RADIANS(C$1))*T73</f>
        <v>0</v>
      </c>
      <c r="D45">
        <f t="shared" ref="D45:D56" si="27">COS(RADIANS($B17))*COS(RADIANS(D$1))*U45+SIN(RADIANS(D$1))*U59+SIN(RADIANS($B17))*COS(RADIANS(D$1))*U73</f>
        <v>-5.9802014479022922</v>
      </c>
      <c r="E45">
        <f t="shared" ref="E45:E56" si="28">COS(RADIANS($B17))*COS(RADIANS(E$1))*V45+SIN(RADIANS(E$1))*V59+SIN(RADIANS($B17))*COS(RADIANS(E$1))*V73</f>
        <v>-11.935715642543711</v>
      </c>
      <c r="F45">
        <f t="shared" ref="F45:F56" si="29">COS(RADIANS($B17))*COS(RADIANS(F$1))*W45+SIN(RADIANS(F$1))*W59+SIN(RADIANS($B17))*COS(RADIANS(F$1))*W73</f>
        <v>-20.435917280136767</v>
      </c>
      <c r="G45">
        <f t="shared" ref="G45:G56" si="30">COS(RADIANS($B17))*COS(RADIANS(G$1))*X45+SIN(RADIANS(G$1))*X59+SIN(RADIANS($B17))*COS(RADIANS(G$1))*X73</f>
        <v>-24.595750103372929</v>
      </c>
      <c r="H45">
        <f t="shared" ref="H45:H56" si="31">COS(RADIANS($B17))*COS(RADIANS(H$1))*Y45+SIN(RADIANS(H$1))*Y59+SIN(RADIANS($B17))*COS(RADIANS(H$1))*Y73</f>
        <v>-26.386105021609204</v>
      </c>
      <c r="I45">
        <f t="shared" ref="I45:I56" si="32">COS(RADIANS($B17))*COS(RADIANS(I$1))*Z45+SIN(RADIANS(I$1))*Z59+SIN(RADIANS($B17))*COS(RADIANS(I$1))*Z73</f>
        <v>-30.42750664245645</v>
      </c>
      <c r="L45">
        <v>0</v>
      </c>
      <c r="M45">
        <v>-5.7270473096669221</v>
      </c>
      <c r="N45">
        <v>-11.344107659925772</v>
      </c>
      <c r="O45">
        <v>-19.61829909203016</v>
      </c>
      <c r="P45">
        <v>-21.99584623458674</v>
      </c>
      <c r="Q45">
        <v>-23.81874446999684</v>
      </c>
      <c r="R45">
        <v>-25.710618730685322</v>
      </c>
      <c r="T45">
        <f t="shared" ref="T45:T56" si="33">L45</f>
        <v>0</v>
      </c>
      <c r="U45">
        <f t="shared" ref="U45:U56" si="34">M45</f>
        <v>-5.7270473096669221</v>
      </c>
      <c r="V45">
        <f t="shared" ref="V45:V56" si="35">N45</f>
        <v>-11.344107659925772</v>
      </c>
      <c r="W45">
        <f t="shared" ref="W45:W56" si="36">O45</f>
        <v>-19.61829909203016</v>
      </c>
      <c r="X45">
        <f t="shared" ref="X45:X56" si="37">P45</f>
        <v>-21.99584623458674</v>
      </c>
      <c r="Y45">
        <f t="shared" ref="Y45:Y56" si="38">Q45</f>
        <v>-23.81874446999684</v>
      </c>
      <c r="Z45">
        <f t="shared" ref="Z45:Z56" si="39">R45</f>
        <v>-25.710618730685322</v>
      </c>
    </row>
    <row r="46" spans="1:26" x14ac:dyDescent="0.4">
      <c r="A46" s="5"/>
      <c r="B46">
        <v>-2</v>
      </c>
      <c r="C46">
        <f t="shared" si="26"/>
        <v>0</v>
      </c>
      <c r="D46">
        <f t="shared" si="27"/>
        <v>-5.8747971000178438</v>
      </c>
      <c r="E46">
        <f t="shared" si="28"/>
        <v>-11.773401852705829</v>
      </c>
      <c r="F46">
        <f t="shared" si="29"/>
        <v>-20.054764225125545</v>
      </c>
      <c r="G46">
        <f t="shared" si="30"/>
        <v>-23.765570860544841</v>
      </c>
      <c r="H46">
        <f t="shared" si="31"/>
        <v>-24.185819211971946</v>
      </c>
      <c r="I46">
        <f t="shared" si="32"/>
        <v>-28.65133124776127</v>
      </c>
      <c r="L46">
        <v>0</v>
      </c>
      <c r="M46">
        <v>-5.6890056904891191</v>
      </c>
      <c r="N46">
        <v>-11.371866293980228</v>
      </c>
      <c r="O46">
        <v>-19.333742466019498</v>
      </c>
      <c r="P46">
        <v>-23.375708093847258</v>
      </c>
      <c r="Q46">
        <v>-21.65831077491827</v>
      </c>
      <c r="R46">
        <v>-23.743878646528678</v>
      </c>
      <c r="T46">
        <f t="shared" si="33"/>
        <v>0</v>
      </c>
      <c r="U46">
        <f t="shared" si="34"/>
        <v>-5.6890056904891191</v>
      </c>
      <c r="V46">
        <f t="shared" si="35"/>
        <v>-11.371866293980228</v>
      </c>
      <c r="W46">
        <f t="shared" si="36"/>
        <v>-19.333742466019498</v>
      </c>
      <c r="X46">
        <f t="shared" si="37"/>
        <v>-23.375708093847258</v>
      </c>
      <c r="Y46">
        <f t="shared" si="38"/>
        <v>-21.65831077491827</v>
      </c>
      <c r="Z46">
        <f t="shared" si="39"/>
        <v>-23.743878646528678</v>
      </c>
    </row>
    <row r="47" spans="1:26" x14ac:dyDescent="0.4">
      <c r="A47" s="5"/>
      <c r="B47">
        <v>0</v>
      </c>
      <c r="C47">
        <f t="shared" si="26"/>
        <v>0</v>
      </c>
      <c r="D47">
        <f t="shared" si="27"/>
        <v>-5.742442991822192</v>
      </c>
      <c r="E47">
        <f t="shared" si="28"/>
        <v>-11.317575832475239</v>
      </c>
      <c r="F47">
        <f t="shared" si="29"/>
        <v>-20.14321907612689</v>
      </c>
      <c r="G47">
        <f t="shared" si="30"/>
        <v>-22.771823414727233</v>
      </c>
      <c r="H47">
        <f t="shared" si="31"/>
        <v>-23.88120321553243</v>
      </c>
      <c r="I47">
        <f t="shared" si="32"/>
        <v>-28.460791470020734</v>
      </c>
      <c r="L47">
        <v>0</v>
      </c>
      <c r="M47">
        <v>-5.7138509303835434</v>
      </c>
      <c r="N47">
        <v>-11.268540357275137</v>
      </c>
      <c r="O47">
        <v>-20.034455552268245</v>
      </c>
      <c r="P47">
        <v>-22.840956385014106</v>
      </c>
      <c r="Q47">
        <v>-21.367024518255707</v>
      </c>
      <c r="R47">
        <v>-23.332302184165385</v>
      </c>
      <c r="T47">
        <f t="shared" si="33"/>
        <v>0</v>
      </c>
      <c r="U47">
        <f t="shared" si="34"/>
        <v>-5.7138509303835434</v>
      </c>
      <c r="V47">
        <f t="shared" si="35"/>
        <v>-11.268540357275137</v>
      </c>
      <c r="W47">
        <f t="shared" si="36"/>
        <v>-20.034455552268245</v>
      </c>
      <c r="X47">
        <f t="shared" si="37"/>
        <v>-22.840956385014106</v>
      </c>
      <c r="Y47">
        <f t="shared" si="38"/>
        <v>-21.367024518255707</v>
      </c>
      <c r="Z47">
        <f t="shared" si="39"/>
        <v>-23.332302184165385</v>
      </c>
    </row>
    <row r="48" spans="1:26" x14ac:dyDescent="0.4">
      <c r="A48" s="5"/>
      <c r="B48">
        <v>2</v>
      </c>
      <c r="C48">
        <f t="shared" si="26"/>
        <v>0</v>
      </c>
      <c r="D48">
        <f t="shared" si="27"/>
        <v>-5.5927552751135501</v>
      </c>
      <c r="E48">
        <f t="shared" si="28"/>
        <v>-10.922463778095725</v>
      </c>
      <c r="F48">
        <f t="shared" si="29"/>
        <v>-20.3372193787573</v>
      </c>
      <c r="G48">
        <f t="shared" si="30"/>
        <v>-22.257281688778832</v>
      </c>
      <c r="H48">
        <f t="shared" si="31"/>
        <v>-24.119659035296252</v>
      </c>
      <c r="I48">
        <f t="shared" si="32"/>
        <v>-28.298541542624125</v>
      </c>
      <c r="L48">
        <v>0</v>
      </c>
      <c r="M48">
        <v>-5.7595850506602435</v>
      </c>
      <c r="N48">
        <v>-11.29179287145662</v>
      </c>
      <c r="O48">
        <v>-21.132028015216978</v>
      </c>
      <c r="P48">
        <v>-22.93524520988046</v>
      </c>
      <c r="Q48">
        <v>-22.207443517327459</v>
      </c>
      <c r="R48">
        <v>-23.773613573905109</v>
      </c>
      <c r="T48">
        <f t="shared" si="33"/>
        <v>0</v>
      </c>
      <c r="U48">
        <f t="shared" si="34"/>
        <v>-5.7595850506602435</v>
      </c>
      <c r="V48">
        <f t="shared" si="35"/>
        <v>-11.29179287145662</v>
      </c>
      <c r="W48">
        <f t="shared" si="36"/>
        <v>-21.132028015216978</v>
      </c>
      <c r="X48">
        <f t="shared" si="37"/>
        <v>-22.93524520988046</v>
      </c>
      <c r="Y48">
        <f t="shared" si="38"/>
        <v>-22.207443517327459</v>
      </c>
      <c r="Z48">
        <f t="shared" si="39"/>
        <v>-23.773613573905109</v>
      </c>
    </row>
    <row r="49" spans="1:26" x14ac:dyDescent="0.4">
      <c r="A49" s="5"/>
      <c r="B49">
        <v>4</v>
      </c>
      <c r="C49">
        <f t="shared" si="26"/>
        <v>0</v>
      </c>
      <c r="D49">
        <f t="shared" si="27"/>
        <v>-5.4817220851608575</v>
      </c>
      <c r="E49">
        <f t="shared" si="28"/>
        <v>-10.59010519929816</v>
      </c>
      <c r="F49">
        <f t="shared" si="29"/>
        <v>-19.582923616624345</v>
      </c>
      <c r="G49">
        <f t="shared" si="30"/>
        <v>-21.357561468399929</v>
      </c>
      <c r="H49">
        <f t="shared" si="31"/>
        <v>-23.680935467419552</v>
      </c>
      <c r="I49">
        <f t="shared" si="32"/>
        <v>-26.934028459571909</v>
      </c>
      <c r="L49">
        <v>0</v>
      </c>
      <c r="M49">
        <v>-5.8906865830434603</v>
      </c>
      <c r="N49">
        <v>-11.436321111782179</v>
      </c>
      <c r="O49">
        <v>-21.342001425539468</v>
      </c>
      <c r="P49">
        <v>-22.644085640551438</v>
      </c>
      <c r="Q49">
        <v>-22.489536872992186</v>
      </c>
      <c r="R49">
        <v>-25.089318351861348</v>
      </c>
      <c r="T49">
        <f t="shared" si="33"/>
        <v>0</v>
      </c>
      <c r="U49">
        <f t="shared" si="34"/>
        <v>-5.8906865830434603</v>
      </c>
      <c r="V49">
        <f t="shared" si="35"/>
        <v>-11.436321111782179</v>
      </c>
      <c r="W49">
        <f t="shared" si="36"/>
        <v>-21.342001425539468</v>
      </c>
      <c r="X49">
        <f t="shared" si="37"/>
        <v>-22.644085640551438</v>
      </c>
      <c r="Y49">
        <f t="shared" si="38"/>
        <v>-22.489536872992186</v>
      </c>
      <c r="Z49">
        <f t="shared" si="39"/>
        <v>-25.089318351861348</v>
      </c>
    </row>
    <row r="50" spans="1:26" x14ac:dyDescent="0.4">
      <c r="A50" s="5"/>
      <c r="B50">
        <v>6</v>
      </c>
      <c r="C50">
        <f t="shared" si="26"/>
        <v>0</v>
      </c>
      <c r="D50">
        <f t="shared" si="27"/>
        <v>-5.3563385411458251</v>
      </c>
      <c r="E50">
        <f t="shared" si="28"/>
        <v>-10.341335455485291</v>
      </c>
      <c r="F50">
        <f t="shared" si="29"/>
        <v>-19.302501523664237</v>
      </c>
      <c r="G50">
        <f t="shared" si="30"/>
        <v>-22.646270263810639</v>
      </c>
      <c r="H50">
        <f t="shared" si="31"/>
        <v>-25.529782338526218</v>
      </c>
      <c r="I50">
        <f t="shared" si="32"/>
        <v>-26.994171297887384</v>
      </c>
      <c r="L50">
        <v>0</v>
      </c>
      <c r="M50">
        <v>-6.0891212661199594</v>
      </c>
      <c r="N50">
        <v>-11.755244985747037</v>
      </c>
      <c r="O50">
        <v>-22.023108963344438</v>
      </c>
      <c r="P50">
        <v>-25.271921371710157</v>
      </c>
      <c r="Q50">
        <v>-27.78911260778704</v>
      </c>
      <c r="R50">
        <v>-30.337815188066617</v>
      </c>
      <c r="T50">
        <f t="shared" si="33"/>
        <v>0</v>
      </c>
      <c r="U50">
        <f t="shared" si="34"/>
        <v>-6.0891212661199594</v>
      </c>
      <c r="V50">
        <f t="shared" si="35"/>
        <v>-11.755244985747037</v>
      </c>
      <c r="W50">
        <f t="shared" si="36"/>
        <v>-22.023108963344438</v>
      </c>
      <c r="X50">
        <f t="shared" si="37"/>
        <v>-25.271921371710157</v>
      </c>
      <c r="Y50">
        <f t="shared" si="38"/>
        <v>-27.78911260778704</v>
      </c>
      <c r="Z50">
        <f t="shared" si="39"/>
        <v>-30.337815188066617</v>
      </c>
    </row>
    <row r="51" spans="1:26" x14ac:dyDescent="0.4">
      <c r="A51" s="5"/>
      <c r="B51">
        <v>8</v>
      </c>
      <c r="C51">
        <f t="shared" si="26"/>
        <v>0</v>
      </c>
      <c r="D51">
        <f t="shared" si="27"/>
        <v>-5.1515959813322318</v>
      </c>
      <c r="E51">
        <f t="shared" si="28"/>
        <v>-10.106662218136712</v>
      </c>
      <c r="F51">
        <f t="shared" si="29"/>
        <v>-19.386086985943319</v>
      </c>
      <c r="G51">
        <f t="shared" si="30"/>
        <v>-22.701552784425417</v>
      </c>
      <c r="H51">
        <f t="shared" si="31"/>
        <v>-27.433158859486479</v>
      </c>
      <c r="I51">
        <f t="shared" si="32"/>
        <v>-30.657904062921652</v>
      </c>
      <c r="L51">
        <v>0</v>
      </c>
      <c r="M51">
        <v>-6.2708925835915634</v>
      </c>
      <c r="N51">
        <v>-12.150717504919101</v>
      </c>
      <c r="O51">
        <v>-23.00470313028098</v>
      </c>
      <c r="P51">
        <v>-25.468406151332729</v>
      </c>
      <c r="Q51">
        <v>-29.92097558710617</v>
      </c>
      <c r="R51">
        <v>-33.423306293940279</v>
      </c>
      <c r="T51">
        <f t="shared" si="33"/>
        <v>0</v>
      </c>
      <c r="U51">
        <f t="shared" si="34"/>
        <v>-6.2708925835915634</v>
      </c>
      <c r="V51">
        <f t="shared" si="35"/>
        <v>-12.150717504919101</v>
      </c>
      <c r="W51">
        <f t="shared" si="36"/>
        <v>-23.00470313028098</v>
      </c>
      <c r="X51">
        <f t="shared" si="37"/>
        <v>-25.468406151332729</v>
      </c>
      <c r="Y51">
        <f t="shared" si="38"/>
        <v>-29.92097558710617</v>
      </c>
      <c r="Z51">
        <f t="shared" si="39"/>
        <v>-33.423306293940279</v>
      </c>
    </row>
    <row r="52" spans="1:26" x14ac:dyDescent="0.4">
      <c r="A52" s="5"/>
      <c r="B52">
        <v>10</v>
      </c>
      <c r="C52">
        <f t="shared" si="26"/>
        <v>0</v>
      </c>
      <c r="D52">
        <f t="shared" si="27"/>
        <v>6.2448567877434584</v>
      </c>
      <c r="E52">
        <f t="shared" si="28"/>
        <v>0.30492595916651366</v>
      </c>
      <c r="F52">
        <f t="shared" si="29"/>
        <v>-11.851937556540147</v>
      </c>
      <c r="G52">
        <f t="shared" si="30"/>
        <v>-21.331303506992413</v>
      </c>
      <c r="H52">
        <f t="shared" si="31"/>
        <v>-29.338907044005076</v>
      </c>
      <c r="I52">
        <f t="shared" si="32"/>
        <v>-36.08019052132201</v>
      </c>
      <c r="L52">
        <v>0</v>
      </c>
      <c r="M52">
        <v>4.0462470139836713</v>
      </c>
      <c r="N52">
        <v>-1.2354960313784982</v>
      </c>
      <c r="O52">
        <v>-13.673825023491675</v>
      </c>
      <c r="P52">
        <v>-22.397195252068204</v>
      </c>
      <c r="Q52">
        <v>-27.437036904220523</v>
      </c>
      <c r="R52">
        <v>-32.323078699771955</v>
      </c>
      <c r="T52">
        <f t="shared" si="33"/>
        <v>0</v>
      </c>
      <c r="U52">
        <f t="shared" si="34"/>
        <v>4.0462470139836713</v>
      </c>
      <c r="V52">
        <f t="shared" si="35"/>
        <v>-1.2354960313784982</v>
      </c>
      <c r="W52">
        <f t="shared" si="36"/>
        <v>-13.673825023491675</v>
      </c>
      <c r="X52">
        <f t="shared" si="37"/>
        <v>-22.397195252068204</v>
      </c>
      <c r="Y52">
        <f t="shared" si="38"/>
        <v>-27.437036904220523</v>
      </c>
      <c r="Z52">
        <f t="shared" si="39"/>
        <v>-32.323078699771955</v>
      </c>
    </row>
    <row r="53" spans="1:26" x14ac:dyDescent="0.4">
      <c r="A53" s="5"/>
      <c r="B53">
        <v>11</v>
      </c>
      <c r="C53">
        <f t="shared" si="26"/>
        <v>0</v>
      </c>
      <c r="D53">
        <f t="shared" si="27"/>
        <v>-6.8532706457557833</v>
      </c>
      <c r="E53">
        <f t="shared" si="28"/>
        <v>-12.650578243902295</v>
      </c>
      <c r="F53">
        <f t="shared" si="29"/>
        <v>-9.4305045038382413</v>
      </c>
      <c r="G53">
        <f t="shared" si="30"/>
        <v>-20.273720473737953</v>
      </c>
      <c r="H53">
        <f t="shared" si="31"/>
        <v>-30.361036145164142</v>
      </c>
      <c r="I53">
        <f t="shared" si="32"/>
        <v>-41.148401951701686</v>
      </c>
      <c r="L53">
        <v>0</v>
      </c>
      <c r="M53">
        <v>-8.3755028170413972</v>
      </c>
      <c r="N53">
        <v>-13.591616481351114</v>
      </c>
      <c r="O53">
        <v>-11.010707940926954</v>
      </c>
      <c r="P53">
        <v>-20.786665905302065</v>
      </c>
      <c r="Q53">
        <v>-24.677204323845793</v>
      </c>
      <c r="R53">
        <v>-30.855273920186974</v>
      </c>
      <c r="T53">
        <f t="shared" si="33"/>
        <v>0</v>
      </c>
      <c r="U53">
        <f t="shared" si="34"/>
        <v>-8.3755028170413972</v>
      </c>
      <c r="V53">
        <f t="shared" si="35"/>
        <v>-13.591616481351114</v>
      </c>
      <c r="W53">
        <f t="shared" si="36"/>
        <v>-11.010707940926954</v>
      </c>
      <c r="X53">
        <f t="shared" si="37"/>
        <v>-20.786665905302065</v>
      </c>
      <c r="Y53">
        <f t="shared" si="38"/>
        <v>-24.677204323845793</v>
      </c>
      <c r="Z53">
        <f t="shared" si="39"/>
        <v>-30.855273920186974</v>
      </c>
    </row>
    <row r="54" spans="1:26" x14ac:dyDescent="0.4">
      <c r="A54" s="5"/>
      <c r="B54">
        <v>12</v>
      </c>
      <c r="C54">
        <f t="shared" si="26"/>
        <v>0</v>
      </c>
      <c r="D54">
        <f t="shared" si="27"/>
        <v>-8.5173983715444805</v>
      </c>
      <c r="E54">
        <f t="shared" si="28"/>
        <v>-16.66075403556237</v>
      </c>
      <c r="F54">
        <f t="shared" si="29"/>
        <v>-24.628999047725156</v>
      </c>
      <c r="G54">
        <f t="shared" si="30"/>
        <v>-17.734108323213025</v>
      </c>
      <c r="H54">
        <f t="shared" si="31"/>
        <v>-31.678722551851585</v>
      </c>
      <c r="I54">
        <f t="shared" si="32"/>
        <v>-47.15224278166216</v>
      </c>
      <c r="L54">
        <v>0</v>
      </c>
      <c r="M54">
        <v>-10.125022179375145</v>
      </c>
      <c r="N54">
        <v>-17.654125573033866</v>
      </c>
      <c r="O54">
        <v>-25.523734554615697</v>
      </c>
      <c r="P54">
        <v>-20.090171804165195</v>
      </c>
      <c r="Q54">
        <v>-27.652490344114767</v>
      </c>
      <c r="R54">
        <v>-35.83488211900297</v>
      </c>
      <c r="T54">
        <f t="shared" si="33"/>
        <v>0</v>
      </c>
      <c r="U54">
        <f t="shared" si="34"/>
        <v>-10.125022179375145</v>
      </c>
      <c r="V54">
        <f t="shared" si="35"/>
        <v>-17.654125573033866</v>
      </c>
      <c r="W54">
        <f t="shared" si="36"/>
        <v>-25.523734554615697</v>
      </c>
      <c r="X54">
        <f t="shared" si="37"/>
        <v>-20.090171804165195</v>
      </c>
      <c r="Y54">
        <f t="shared" si="38"/>
        <v>-27.652490344114767</v>
      </c>
      <c r="Z54">
        <f t="shared" si="39"/>
        <v>-35.83488211900297</v>
      </c>
    </row>
    <row r="55" spans="1:26" x14ac:dyDescent="0.4">
      <c r="A55" s="5"/>
      <c r="B55">
        <v>13</v>
      </c>
      <c r="C55">
        <f t="shared" si="26"/>
        <v>0</v>
      </c>
      <c r="D55">
        <f t="shared" si="27"/>
        <v>-6.4173291254245974</v>
      </c>
      <c r="E55">
        <f t="shared" si="28"/>
        <v>-11.647789170179124</v>
      </c>
      <c r="F55">
        <f t="shared" si="29"/>
        <v>-19.302845597190981</v>
      </c>
      <c r="G55">
        <f t="shared" si="30"/>
        <v>-2.7565021361668727</v>
      </c>
      <c r="H55">
        <f t="shared" si="31"/>
        <v>-12.256722854294903</v>
      </c>
      <c r="I55">
        <f t="shared" si="32"/>
        <v>-34.648540085153172</v>
      </c>
      <c r="L55">
        <v>0</v>
      </c>
      <c r="M55">
        <v>-8.2204281111475606</v>
      </c>
      <c r="N55">
        <v>-14.467838049142417</v>
      </c>
      <c r="O55">
        <v>-23.471820463179849</v>
      </c>
      <c r="P55">
        <v>-4.7791000426246626</v>
      </c>
      <c r="Q55">
        <v>-13.379130939897248</v>
      </c>
      <c r="R55">
        <v>-22.806765481161289</v>
      </c>
      <c r="T55">
        <f t="shared" si="33"/>
        <v>0</v>
      </c>
      <c r="U55">
        <f t="shared" si="34"/>
        <v>-8.2204281111475606</v>
      </c>
      <c r="V55">
        <f t="shared" si="35"/>
        <v>-14.467838049142417</v>
      </c>
      <c r="W55">
        <f t="shared" si="36"/>
        <v>-23.471820463179849</v>
      </c>
      <c r="X55">
        <f t="shared" si="37"/>
        <v>-4.7791000426246626</v>
      </c>
      <c r="Y55">
        <f t="shared" si="38"/>
        <v>-13.379130939897248</v>
      </c>
      <c r="Z55">
        <f t="shared" si="39"/>
        <v>-22.806765481161289</v>
      </c>
    </row>
    <row r="56" spans="1:26" x14ac:dyDescent="0.4">
      <c r="A56" s="5"/>
      <c r="B56">
        <v>14</v>
      </c>
      <c r="C56">
        <f t="shared" si="26"/>
        <v>0</v>
      </c>
      <c r="D56">
        <f t="shared" si="27"/>
        <v>-7.5010731737058851</v>
      </c>
      <c r="E56">
        <f t="shared" si="28"/>
        <v>-13.404783718170524</v>
      </c>
      <c r="F56">
        <f t="shared" si="29"/>
        <v>-23.785154195139675</v>
      </c>
      <c r="G56">
        <f t="shared" si="30"/>
        <v>-29.310232251609115</v>
      </c>
      <c r="H56">
        <f t="shared" si="31"/>
        <v>-17.035424977161068</v>
      </c>
      <c r="I56">
        <f t="shared" si="32"/>
        <v>-37.674112716407102</v>
      </c>
      <c r="L56">
        <v>0</v>
      </c>
      <c r="M56">
        <v>-9.4489878569031962</v>
      </c>
      <c r="N56">
        <v>-16.299592719922117</v>
      </c>
      <c r="O56">
        <v>-28.188868650941885</v>
      </c>
      <c r="P56">
        <v>-33.196576005181079</v>
      </c>
      <c r="Q56">
        <v>-20.232161610936874</v>
      </c>
      <c r="R56">
        <v>-29.577264418758755</v>
      </c>
      <c r="T56">
        <f t="shared" si="33"/>
        <v>0</v>
      </c>
      <c r="U56">
        <f t="shared" si="34"/>
        <v>-9.4489878569031962</v>
      </c>
      <c r="V56">
        <f t="shared" si="35"/>
        <v>-16.299592719922117</v>
      </c>
      <c r="W56">
        <f t="shared" si="36"/>
        <v>-28.188868650941885</v>
      </c>
      <c r="X56">
        <f t="shared" si="37"/>
        <v>-33.196576005181079</v>
      </c>
      <c r="Y56">
        <f t="shared" si="38"/>
        <v>-20.232161610936874</v>
      </c>
      <c r="Z56">
        <f t="shared" si="39"/>
        <v>-29.577264418758755</v>
      </c>
    </row>
    <row r="57" spans="1:26" x14ac:dyDescent="0.4">
      <c r="A57" s="4"/>
    </row>
    <row r="58" spans="1:26" x14ac:dyDescent="0.4">
      <c r="A58" s="5" t="s">
        <v>29</v>
      </c>
      <c r="B58">
        <v>-6</v>
      </c>
      <c r="C58">
        <f>-COS(RADIANS($B30))*SIN(RADIANS(C$1))*T44+COS(RADIANS(C$1))*T58-SIN(RADIANS($B30))*SIN(RADIANS(C$1))*T72</f>
        <v>19.459002231630514</v>
      </c>
      <c r="D58">
        <f t="shared" ref="D58:I58" si="40">-COS(RADIANS($B30))*SIN(RADIANS(D$1))*U44+COS(RADIANS(D$1))*U58-SIN(RADIANS($B30))*SIN(RADIANS(D$1))*U72</f>
        <v>19.470475559044438</v>
      </c>
      <c r="E58">
        <f t="shared" si="40"/>
        <v>16.667251624281018</v>
      </c>
      <c r="F58">
        <f t="shared" si="40"/>
        <v>17.762265467135659</v>
      </c>
      <c r="G58">
        <f t="shared" si="40"/>
        <v>14.477556254722463</v>
      </c>
      <c r="H58">
        <f t="shared" si="40"/>
        <v>13.303535274041137</v>
      </c>
      <c r="I58">
        <f t="shared" si="40"/>
        <v>2.0514527408087302</v>
      </c>
      <c r="L58">
        <v>26.003038728643489</v>
      </c>
      <c r="M58">
        <v>25.604005094962311</v>
      </c>
      <c r="N58">
        <v>22.675693395848722</v>
      </c>
      <c r="O58">
        <v>22.55406913778145</v>
      </c>
      <c r="P58">
        <v>18.382208244581271</v>
      </c>
      <c r="Q58">
        <v>18.017441724818411</v>
      </c>
      <c r="R58">
        <v>4.3578186284768563</v>
      </c>
      <c r="T58">
        <f>L58-0.167*L30</f>
        <v>19.459002231630514</v>
      </c>
      <c r="U58">
        <f t="shared" ref="U58:Z58" si="41">M58-0.167*M30</f>
        <v>19.280193904056489</v>
      </c>
      <c r="V58">
        <f t="shared" si="41"/>
        <v>16.322642876566228</v>
      </c>
      <c r="W58">
        <f t="shared" si="41"/>
        <v>15.948019367462841</v>
      </c>
      <c r="X58">
        <f t="shared" si="41"/>
        <v>11.184742269862024</v>
      </c>
      <c r="Y58">
        <f t="shared" si="41"/>
        <v>9.9319928449121129</v>
      </c>
      <c r="Z58">
        <f t="shared" si="41"/>
        <v>-3.10247205149635</v>
      </c>
    </row>
    <row r="59" spans="1:26" x14ac:dyDescent="0.4">
      <c r="A59" s="5"/>
      <c r="B59">
        <v>-4</v>
      </c>
      <c r="C59">
        <f t="shared" ref="C59:C70" si="42">-COS(RADIANS($B31))*SIN(RADIANS(C$1))*T45+COS(RADIANS(C$1))*T59-SIN(RADIANS($B31))*SIN(RADIANS(C$1))*T73</f>
        <v>5.6699981728122593</v>
      </c>
      <c r="D59">
        <f t="shared" ref="D59:D70" si="43">-COS(RADIANS($B31))*SIN(RADIANS(D$1))*U45+COS(RADIANS(D$1))*U59-SIN(RADIANS($B31))*SIN(RADIANS(D$1))*U73</f>
        <v>5.7255651968698311</v>
      </c>
      <c r="E59">
        <f t="shared" ref="E59:E70" si="44">-COS(RADIANS($B31))*SIN(RADIANS(E$1))*V45+COS(RADIANS(E$1))*V59-SIN(RADIANS($B31))*SIN(RADIANS(E$1))*V73</f>
        <v>6.1930261951669481</v>
      </c>
      <c r="F59">
        <f t="shared" ref="F59:F70" si="45">-COS(RADIANS($B31))*SIN(RADIANS(F$1))*W45+COS(RADIANS(F$1))*W59-SIN(RADIANS($B31))*SIN(RADIANS(F$1))*W73</f>
        <v>7.0473817894239836</v>
      </c>
      <c r="G59">
        <f t="shared" ref="G59:G70" si="46">-COS(RADIANS($B31))*SIN(RADIANS(G$1))*X45+COS(RADIANS(G$1))*X59-SIN(RADIANS($B31))*SIN(RADIANS(G$1))*X73</f>
        <v>-1.2804641458320005</v>
      </c>
      <c r="H59">
        <f t="shared" ref="H59:H70" si="47">-COS(RADIANS($B31))*SIN(RADIANS(H$1))*Y45+COS(RADIANS(H$1))*Y59-SIN(RADIANS($B31))*SIN(RADIANS(H$1))*Y73</f>
        <v>-1.5413701619896374</v>
      </c>
      <c r="I59">
        <f t="shared" ref="I59:I70" si="48">-COS(RADIANS($B31))*SIN(RADIANS(I$1))*Z45+COS(RADIANS(I$1))*Z59-SIN(RADIANS($B31))*SIN(RADIANS(I$1))*Z73</f>
        <v>-5.1150094344294468</v>
      </c>
      <c r="L59">
        <v>6.7807455864676833E-2</v>
      </c>
      <c r="M59">
        <v>-4.7617358526277784E-2</v>
      </c>
      <c r="N59">
        <v>-0.13690257980716891</v>
      </c>
      <c r="O59">
        <v>-0.8216473670260378</v>
      </c>
      <c r="P59">
        <v>-11.791780420697981</v>
      </c>
      <c r="Q59">
        <v>-13.34685780709283</v>
      </c>
      <c r="R59">
        <v>-19.48596484010103</v>
      </c>
      <c r="T59">
        <f t="shared" ref="T59:T70" si="49">L59-0.167*L31</f>
        <v>5.6699981728122593</v>
      </c>
      <c r="U59">
        <f t="shared" ref="U59:U70" si="50">M59-0.167*M31</f>
        <v>5.5133713165401339</v>
      </c>
      <c r="V59">
        <f t="shared" ref="V59:V70" si="51">N59-0.167*N31</f>
        <v>5.3453468597794833</v>
      </c>
      <c r="W59">
        <f t="shared" ref="W59:W70" si="52">O59-0.167*O31</f>
        <v>4.1346671754573796</v>
      </c>
      <c r="X59">
        <f t="shared" ref="X59:X70" si="53">P59-0.167*P31</f>
        <v>-6.3662269229945769</v>
      </c>
      <c r="Y59">
        <f t="shared" ref="Y59:Y70" si="54">Q59-0.167*Q31</f>
        <v>-8.7546563144488836</v>
      </c>
      <c r="Z59">
        <f t="shared" ref="Z59:Z70" si="55">R59-0.167*R31</f>
        <v>-15.213356803679346</v>
      </c>
    </row>
    <row r="60" spans="1:26" x14ac:dyDescent="0.4">
      <c r="A60" s="5"/>
      <c r="B60">
        <v>-2</v>
      </c>
      <c r="C60">
        <f t="shared" si="42"/>
        <v>1.697565841402831</v>
      </c>
      <c r="D60">
        <f t="shared" si="43"/>
        <v>1.8794294472271711</v>
      </c>
      <c r="E60">
        <f t="shared" si="44"/>
        <v>2.4127632947469357</v>
      </c>
      <c r="F60">
        <f t="shared" si="45"/>
        <v>2.8394392384242404</v>
      </c>
      <c r="G60">
        <f t="shared" si="46"/>
        <v>5.4780467898884995</v>
      </c>
      <c r="H60">
        <f t="shared" si="47"/>
        <v>-3.8463659933656791</v>
      </c>
      <c r="I60">
        <f t="shared" si="48"/>
        <v>-7.527755823557535</v>
      </c>
      <c r="L60">
        <v>-18.7262608994257</v>
      </c>
      <c r="M60">
        <v>-18.70296933149945</v>
      </c>
      <c r="N60">
        <v>-18.645454487211541</v>
      </c>
      <c r="O60">
        <v>-19.76591063331993</v>
      </c>
      <c r="P60">
        <v>-18.55199697636569</v>
      </c>
      <c r="Q60">
        <v>-29.055340350132539</v>
      </c>
      <c r="R60">
        <v>-34.740015335633871</v>
      </c>
      <c r="T60">
        <f t="shared" si="49"/>
        <v>1.697565841402831</v>
      </c>
      <c r="U60">
        <f t="shared" si="50"/>
        <v>1.6732570875684694</v>
      </c>
      <c r="V60">
        <f t="shared" si="51"/>
        <v>1.585614927408681</v>
      </c>
      <c r="W60">
        <f t="shared" si="52"/>
        <v>2.0722284709702166E-2</v>
      </c>
      <c r="X60">
        <f t="shared" si="53"/>
        <v>0.41719830337181207</v>
      </c>
      <c r="Y60">
        <f t="shared" si="54"/>
        <v>-10.363879553838096</v>
      </c>
      <c r="Z60">
        <f t="shared" si="55"/>
        <v>-16.873109018305684</v>
      </c>
    </row>
    <row r="61" spans="1:26" x14ac:dyDescent="0.4">
      <c r="A61" s="5"/>
      <c r="B61">
        <v>0</v>
      </c>
      <c r="C61">
        <f t="shared" si="42"/>
        <v>-0.87229921240850672</v>
      </c>
      <c r="D61">
        <f t="shared" si="43"/>
        <v>-0.71903387425780552</v>
      </c>
      <c r="E61">
        <f t="shared" si="44"/>
        <v>-0.30773386525107871</v>
      </c>
      <c r="F61">
        <f t="shared" si="45"/>
        <v>0.62705292123045231</v>
      </c>
      <c r="G61">
        <f t="shared" si="46"/>
        <v>2.7259263071528892</v>
      </c>
      <c r="H61">
        <f t="shared" si="47"/>
        <v>-5.7650436423778482</v>
      </c>
      <c r="I61">
        <f t="shared" si="48"/>
        <v>-9.9762941116911286</v>
      </c>
      <c r="L61">
        <v>-35.776766761686822</v>
      </c>
      <c r="M61">
        <v>-35.768793723489303</v>
      </c>
      <c r="N61">
        <v>-35.781766548194028</v>
      </c>
      <c r="O61">
        <v>-36.253684724519367</v>
      </c>
      <c r="P61">
        <v>-35.09148638496422</v>
      </c>
      <c r="Q61">
        <v>-44.410453613712697</v>
      </c>
      <c r="R61">
        <v>-50.069384268656293</v>
      </c>
      <c r="T61">
        <f t="shared" si="49"/>
        <v>-0.87229921240850672</v>
      </c>
      <c r="U61">
        <f t="shared" si="50"/>
        <v>-0.91900422850665109</v>
      </c>
      <c r="V61">
        <f t="shared" si="51"/>
        <v>-1.0964584224271832</v>
      </c>
      <c r="W61">
        <f t="shared" si="52"/>
        <v>-2.1824437768368838</v>
      </c>
      <c r="X61">
        <f t="shared" si="53"/>
        <v>-2.0681700320406193</v>
      </c>
      <c r="Y61">
        <f t="shared" si="54"/>
        <v>-12.12426733688833</v>
      </c>
      <c r="Z61">
        <f t="shared" si="55"/>
        <v>-19.108813937284523</v>
      </c>
    </row>
    <row r="62" spans="1:26" x14ac:dyDescent="0.4">
      <c r="A62" s="5"/>
      <c r="B62">
        <v>2</v>
      </c>
      <c r="C62">
        <f t="shared" si="42"/>
        <v>-3.1197573594412447</v>
      </c>
      <c r="D62">
        <f t="shared" si="43"/>
        <v>-2.9988003767856957</v>
      </c>
      <c r="E62">
        <f t="shared" si="44"/>
        <v>-2.6725962066897111</v>
      </c>
      <c r="F62">
        <f t="shared" si="45"/>
        <v>-1.5336370145379394</v>
      </c>
      <c r="G62">
        <f t="shared" si="46"/>
        <v>0.5876168951330164</v>
      </c>
      <c r="H62">
        <f t="shared" si="47"/>
        <v>-6.1930805545851202</v>
      </c>
      <c r="I62">
        <f t="shared" si="48"/>
        <v>-10.567654323744245</v>
      </c>
      <c r="L62">
        <v>-52.165298220986877</v>
      </c>
      <c r="M62">
        <v>-52.175646014670903</v>
      </c>
      <c r="N62">
        <v>-52.224891381638542</v>
      </c>
      <c r="O62">
        <v>-52.38812560718133</v>
      </c>
      <c r="P62">
        <v>-50.801868511841413</v>
      </c>
      <c r="Q62">
        <v>-58.116533123962427</v>
      </c>
      <c r="R62">
        <v>-63.244791656083223</v>
      </c>
      <c r="T62">
        <f t="shared" si="49"/>
        <v>-3.1197573594412447</v>
      </c>
      <c r="U62">
        <f t="shared" si="50"/>
        <v>-3.1921579329027523</v>
      </c>
      <c r="V62">
        <f t="shared" si="51"/>
        <v>-3.4279984544123252</v>
      </c>
      <c r="W62">
        <f t="shared" si="52"/>
        <v>-4.3491056503838621</v>
      </c>
      <c r="X62">
        <f t="shared" si="53"/>
        <v>-4.0527730127961519</v>
      </c>
      <c r="Y62">
        <f t="shared" si="54"/>
        <v>-12.601450156679768</v>
      </c>
      <c r="Z62">
        <f t="shared" si="55"/>
        <v>-19.609018021354458</v>
      </c>
    </row>
    <row r="63" spans="1:26" x14ac:dyDescent="0.4">
      <c r="A63" s="5"/>
      <c r="B63">
        <v>4</v>
      </c>
      <c r="C63">
        <f t="shared" si="42"/>
        <v>-5.2873159256760545</v>
      </c>
      <c r="D63">
        <f t="shared" si="43"/>
        <v>-5.164449771543774</v>
      </c>
      <c r="E63">
        <f t="shared" si="44"/>
        <v>-4.738119193506237</v>
      </c>
      <c r="F63">
        <f t="shared" si="45"/>
        <v>-3.2693895965005249</v>
      </c>
      <c r="G63">
        <f t="shared" si="46"/>
        <v>-0.80674028594479852</v>
      </c>
      <c r="H63">
        <f t="shared" si="47"/>
        <v>-5.6908892225189813</v>
      </c>
      <c r="I63">
        <f t="shared" si="48"/>
        <v>-5.4254035781396617</v>
      </c>
      <c r="L63">
        <v>-67.769602900103294</v>
      </c>
      <c r="M63">
        <v>-67.743524139232193</v>
      </c>
      <c r="N63">
        <v>-67.58698943112455</v>
      </c>
      <c r="O63">
        <v>-67.052695647808548</v>
      </c>
      <c r="P63">
        <v>-64.643122785857557</v>
      </c>
      <c r="Q63">
        <v>-69.403306475497544</v>
      </c>
      <c r="R63">
        <v>-68.687453135523626</v>
      </c>
      <c r="T63">
        <f t="shared" si="49"/>
        <v>-5.2873159256760545</v>
      </c>
      <c r="U63">
        <f t="shared" si="50"/>
        <v>-5.35261307011681</v>
      </c>
      <c r="V63">
        <f t="shared" si="51"/>
        <v>-5.4653057685702606</v>
      </c>
      <c r="W63">
        <f t="shared" si="52"/>
        <v>-5.9629883272800654</v>
      </c>
      <c r="X63">
        <f t="shared" si="53"/>
        <v>-5.2295977917514662</v>
      </c>
      <c r="Y63">
        <f t="shared" si="54"/>
        <v>-11.997784260948215</v>
      </c>
      <c r="Z63">
        <f t="shared" si="55"/>
        <v>-14.310191981243726</v>
      </c>
    </row>
    <row r="64" spans="1:26" x14ac:dyDescent="0.4">
      <c r="A64" s="5"/>
      <c r="B64">
        <v>6</v>
      </c>
      <c r="C64">
        <f t="shared" si="42"/>
        <v>-7.459216628587015</v>
      </c>
      <c r="D64">
        <f t="shared" si="43"/>
        <v>-7.3195598560037656</v>
      </c>
      <c r="E64">
        <f t="shared" si="44"/>
        <v>-6.9212430585228697</v>
      </c>
      <c r="F64">
        <f t="shared" si="45"/>
        <v>-5.0971646205647394</v>
      </c>
      <c r="G64">
        <f t="shared" si="46"/>
        <v>0.6056284403309472</v>
      </c>
      <c r="H64">
        <f t="shared" si="47"/>
        <v>1.6772591135049708</v>
      </c>
      <c r="I64">
        <f t="shared" si="48"/>
        <v>6.2742881298604267</v>
      </c>
      <c r="L64">
        <v>-82.543349033354389</v>
      </c>
      <c r="M64">
        <v>-82.440639024415432</v>
      </c>
      <c r="N64">
        <v>-82.198144293674517</v>
      </c>
      <c r="O64">
        <v>-80.803557645771519</v>
      </c>
      <c r="P64">
        <v>-74.305254077062258</v>
      </c>
      <c r="Q64">
        <v>-72.01155168474169</v>
      </c>
      <c r="R64">
        <v>-65.163267828942907</v>
      </c>
      <c r="T64">
        <f t="shared" si="49"/>
        <v>-7.459216628587015</v>
      </c>
      <c r="U64">
        <f t="shared" si="50"/>
        <v>-7.5020344971615742</v>
      </c>
      <c r="V64">
        <f t="shared" si="51"/>
        <v>-7.62575835347252</v>
      </c>
      <c r="W64">
        <f t="shared" si="52"/>
        <v>-7.7339483581992425</v>
      </c>
      <c r="X64">
        <f t="shared" si="53"/>
        <v>-4.1160303354189409</v>
      </c>
      <c r="Y64">
        <f t="shared" si="54"/>
        <v>-5.4246767583991016</v>
      </c>
      <c r="Z64">
        <f t="shared" si="55"/>
        <v>-3.3366480799466345</v>
      </c>
    </row>
    <row r="65" spans="1:26" x14ac:dyDescent="0.4">
      <c r="A65" s="5"/>
      <c r="B65">
        <v>8</v>
      </c>
      <c r="C65">
        <f t="shared" si="42"/>
        <v>-9.9065392633286109</v>
      </c>
      <c r="D65">
        <f t="shared" si="43"/>
        <v>-9.7002472972483105</v>
      </c>
      <c r="E65">
        <f t="shared" si="44"/>
        <v>-9.1370460778096501</v>
      </c>
      <c r="F65">
        <f t="shared" si="45"/>
        <v>-8.282548500498633</v>
      </c>
      <c r="G65">
        <f t="shared" si="46"/>
        <v>-5.471467642893594</v>
      </c>
      <c r="H65">
        <f t="shared" si="47"/>
        <v>-3.1604679309037307</v>
      </c>
      <c r="I65">
        <f t="shared" si="48"/>
        <v>1.2997001639775074</v>
      </c>
      <c r="L65">
        <v>-96.49013141672242</v>
      </c>
      <c r="M65">
        <v>-96.290675660874683</v>
      </c>
      <c r="N65">
        <v>-95.669814005440045</v>
      </c>
      <c r="O65">
        <v>-94.860628935937669</v>
      </c>
      <c r="P65">
        <v>-90.670862152623627</v>
      </c>
      <c r="Q65">
        <v>-87.211444251146077</v>
      </c>
      <c r="R65">
        <v>-80.825030143681929</v>
      </c>
      <c r="T65">
        <f t="shared" si="49"/>
        <v>-9.9065392633286109</v>
      </c>
      <c r="U65">
        <f t="shared" si="50"/>
        <v>-9.8741262756498571</v>
      </c>
      <c r="V65">
        <f t="shared" si="51"/>
        <v>-9.8197938104506335</v>
      </c>
      <c r="W65">
        <f t="shared" si="52"/>
        <v>-10.899965149162469</v>
      </c>
      <c r="X65">
        <f t="shared" si="53"/>
        <v>-10.071821170987519</v>
      </c>
      <c r="Y65">
        <f t="shared" si="54"/>
        <v>-10.599640132955727</v>
      </c>
      <c r="Z65">
        <f t="shared" si="55"/>
        <v>-9.264302088341168</v>
      </c>
    </row>
    <row r="66" spans="1:26" x14ac:dyDescent="0.4">
      <c r="A66" s="5"/>
      <c r="B66">
        <v>10</v>
      </c>
      <c r="C66">
        <f t="shared" si="42"/>
        <v>-24.646628653079972</v>
      </c>
      <c r="D66">
        <f t="shared" si="43"/>
        <v>-24.524764056299748</v>
      </c>
      <c r="E66">
        <f t="shared" si="44"/>
        <v>-26.664830637713766</v>
      </c>
      <c r="F66">
        <f t="shared" si="45"/>
        <v>-29.403951482433371</v>
      </c>
      <c r="G66">
        <f t="shared" si="46"/>
        <v>-24.066072977606943</v>
      </c>
      <c r="H66">
        <f t="shared" si="47"/>
        <v>-22.899997444260009</v>
      </c>
      <c r="I66">
        <f t="shared" si="48"/>
        <v>-19.240864374887057</v>
      </c>
      <c r="L66">
        <v>-112.39034153712809</v>
      </c>
      <c r="M66">
        <v>-115.2565498869194</v>
      </c>
      <c r="N66">
        <v>-117.75640840339661</v>
      </c>
      <c r="O66">
        <v>-121.66656402823411</v>
      </c>
      <c r="P66">
        <v>-117.2755210137388</v>
      </c>
      <c r="Q66">
        <v>-116.6186518615222</v>
      </c>
      <c r="R66">
        <v>-113.667231478652</v>
      </c>
      <c r="T66">
        <f t="shared" si="49"/>
        <v>-24.646628653079972</v>
      </c>
      <c r="U66">
        <f t="shared" si="50"/>
        <v>-24.291881873802154</v>
      </c>
      <c r="V66">
        <f t="shared" si="51"/>
        <v>-26.578605890785497</v>
      </c>
      <c r="W66">
        <f t="shared" si="52"/>
        <v>-30.767265150008882</v>
      </c>
      <c r="X66">
        <f t="shared" si="53"/>
        <v>-27.975198921616496</v>
      </c>
      <c r="Y66">
        <f t="shared" si="54"/>
        <v>-30.099789140422828</v>
      </c>
      <c r="Z66">
        <f t="shared" si="55"/>
        <v>-30.420650203943822</v>
      </c>
    </row>
    <row r="67" spans="1:26" x14ac:dyDescent="0.4">
      <c r="A67" s="5"/>
      <c r="B67">
        <v>11</v>
      </c>
      <c r="C67">
        <f t="shared" si="42"/>
        <v>-33.331847877362236</v>
      </c>
      <c r="D67">
        <f t="shared" si="43"/>
        <v>-36.561018284380992</v>
      </c>
      <c r="E67">
        <f t="shared" si="44"/>
        <v>-34.92243791898742</v>
      </c>
      <c r="F67">
        <f t="shared" si="45"/>
        <v>-35.301984721717808</v>
      </c>
      <c r="G67">
        <f t="shared" si="46"/>
        <v>-30.447436491413992</v>
      </c>
      <c r="H67">
        <f t="shared" si="47"/>
        <v>-38.578272648592687</v>
      </c>
      <c r="I67">
        <f t="shared" si="48"/>
        <v>-39.259715786618685</v>
      </c>
      <c r="L67">
        <v>-123.0404855154558</v>
      </c>
      <c r="M67">
        <v>-124.5701232555608</v>
      </c>
      <c r="N67">
        <v>-124.1681176228759</v>
      </c>
      <c r="O67">
        <v>-130.93803547728581</v>
      </c>
      <c r="P67">
        <v>-127.49778997866829</v>
      </c>
      <c r="Q67">
        <v>-139.94150226627599</v>
      </c>
      <c r="R67">
        <v>-142.97787536531621</v>
      </c>
      <c r="T67">
        <f t="shared" si="49"/>
        <v>-33.331847877362236</v>
      </c>
      <c r="U67">
        <f t="shared" si="50"/>
        <v>-36.777921996190699</v>
      </c>
      <c r="V67">
        <f t="shared" si="51"/>
        <v>-35.719828344531138</v>
      </c>
      <c r="W67">
        <f t="shared" si="52"/>
        <v>-36.270900788536949</v>
      </c>
      <c r="X67">
        <f t="shared" si="53"/>
        <v>-33.997230455432998</v>
      </c>
      <c r="Y67">
        <f t="shared" si="54"/>
        <v>-45.452451515474451</v>
      </c>
      <c r="Z67">
        <f t="shared" si="55"/>
        <v>-50.965647551980851</v>
      </c>
    </row>
    <row r="68" spans="1:26" x14ac:dyDescent="0.4">
      <c r="A68" s="5"/>
      <c r="B68">
        <v>12</v>
      </c>
      <c r="C68">
        <f t="shared" si="42"/>
        <v>-45.050602838270237</v>
      </c>
      <c r="D68">
        <f t="shared" si="43"/>
        <v>-44.162752287562789</v>
      </c>
      <c r="E68">
        <f t="shared" si="44"/>
        <v>-41.759061844508921</v>
      </c>
      <c r="F68">
        <f t="shared" si="45"/>
        <v>-38.166767489666462</v>
      </c>
      <c r="G68">
        <f t="shared" si="46"/>
        <v>-25.114850017751991</v>
      </c>
      <c r="H68">
        <f t="shared" si="47"/>
        <v>-35.784469089221965</v>
      </c>
      <c r="I68">
        <f t="shared" si="48"/>
        <v>-42.107617218959184</v>
      </c>
      <c r="L68">
        <v>-135.22817363962969</v>
      </c>
      <c r="M68">
        <v>-134.48259730677731</v>
      </c>
      <c r="N68">
        <v>-132.995888878008</v>
      </c>
      <c r="O68">
        <v>-132.95900223290809</v>
      </c>
      <c r="P68">
        <v>-126.1666166045312</v>
      </c>
      <c r="Q68">
        <v>-140.91638780602489</v>
      </c>
      <c r="R68">
        <v>-151.4869605546422</v>
      </c>
      <c r="T68">
        <f t="shared" si="49"/>
        <v>-45.050602838270237</v>
      </c>
      <c r="U68">
        <f t="shared" si="50"/>
        <v>-44.433102448488441</v>
      </c>
      <c r="V68">
        <f t="shared" si="51"/>
        <v>-42.819534320097844</v>
      </c>
      <c r="W68">
        <f t="shared" si="52"/>
        <v>-41.223025303114966</v>
      </c>
      <c r="X68">
        <f t="shared" si="53"/>
        <v>-28.253158734278003</v>
      </c>
      <c r="Y68">
        <f t="shared" si="54"/>
        <v>-43.130078764810563</v>
      </c>
      <c r="Z68">
        <f t="shared" si="55"/>
        <v>-55.695234013844413</v>
      </c>
    </row>
    <row r="69" spans="1:26" x14ac:dyDescent="0.4">
      <c r="A69" s="5"/>
      <c r="B69">
        <v>13</v>
      </c>
      <c r="C69">
        <f t="shared" si="42"/>
        <v>-50.600517379596084</v>
      </c>
      <c r="D69">
        <f t="shared" si="43"/>
        <v>-49.507275621102259</v>
      </c>
      <c r="E69">
        <f t="shared" si="44"/>
        <v>-26.644547013124654</v>
      </c>
      <c r="F69">
        <f t="shared" si="45"/>
        <v>-24.269444833055463</v>
      </c>
      <c r="G69">
        <f t="shared" si="46"/>
        <v>-27.836816842019019</v>
      </c>
      <c r="H69">
        <f t="shared" si="47"/>
        <v>-29.12646220375159</v>
      </c>
      <c r="I69">
        <f t="shared" si="48"/>
        <v>-51.907650643202246</v>
      </c>
      <c r="L69">
        <v>-141.76248923293221</v>
      </c>
      <c r="M69">
        <v>-140.82715233662779</v>
      </c>
      <c r="N69">
        <v>-117.3375108186919</v>
      </c>
      <c r="O69">
        <v>-116.8688311305275</v>
      </c>
      <c r="P69">
        <v>-127.1613104411808</v>
      </c>
      <c r="Q69">
        <v>-129.95704812447889</v>
      </c>
      <c r="R69">
        <v>-158.6811069016218</v>
      </c>
      <c r="T69">
        <f t="shared" si="49"/>
        <v>-50.600517379596084</v>
      </c>
      <c r="U69">
        <f t="shared" si="50"/>
        <v>-49.701078683087317</v>
      </c>
      <c r="V69">
        <f t="shared" si="51"/>
        <v>-27.392150935177639</v>
      </c>
      <c r="W69">
        <f t="shared" si="52"/>
        <v>-26.719693143374329</v>
      </c>
      <c r="X69">
        <f t="shared" si="53"/>
        <v>-27.801624625960514</v>
      </c>
      <c r="Y69">
        <f t="shared" si="54"/>
        <v>-31.37656313320123</v>
      </c>
      <c r="Z69">
        <f t="shared" si="55"/>
        <v>-60.627734917699328</v>
      </c>
    </row>
    <row r="70" spans="1:26" x14ac:dyDescent="0.4">
      <c r="A70" s="5"/>
      <c r="B70">
        <v>14</v>
      </c>
      <c r="C70">
        <f t="shared" si="42"/>
        <v>-55.375864783660589</v>
      </c>
      <c r="D70">
        <f t="shared" si="43"/>
        <v>-53.961523508401299</v>
      </c>
      <c r="E70">
        <f t="shared" si="44"/>
        <v>-28.226006112501704</v>
      </c>
      <c r="F70">
        <f t="shared" si="45"/>
        <v>-25.409615868556738</v>
      </c>
      <c r="G70">
        <f t="shared" si="46"/>
        <v>-16.422068056139405</v>
      </c>
      <c r="H70">
        <f t="shared" si="47"/>
        <v>-24.029965271247391</v>
      </c>
      <c r="I70">
        <f t="shared" si="48"/>
        <v>-42.875442945577824</v>
      </c>
      <c r="L70">
        <v>-147.9361726085265</v>
      </c>
      <c r="M70">
        <v>-146.71294247915651</v>
      </c>
      <c r="N70">
        <v>-120.2930786927664</v>
      </c>
      <c r="O70">
        <v>-119.6844832361749</v>
      </c>
      <c r="P70">
        <v>-112.4904282287673</v>
      </c>
      <c r="Q70">
        <v>-127.7729234322961</v>
      </c>
      <c r="R70">
        <v>-152.89011386670811</v>
      </c>
      <c r="T70">
        <f t="shared" si="49"/>
        <v>-55.375864783660589</v>
      </c>
      <c r="U70">
        <f t="shared" si="50"/>
        <v>-54.190435284762515</v>
      </c>
      <c r="V70">
        <f t="shared" si="51"/>
        <v>-29.092319423728</v>
      </c>
      <c r="W70">
        <f t="shared" si="52"/>
        <v>-28.472584899771732</v>
      </c>
      <c r="X70">
        <f t="shared" si="53"/>
        <v>-22.157146413893301</v>
      </c>
      <c r="Y70">
        <f t="shared" si="54"/>
        <v>-27.794684665901713</v>
      </c>
      <c r="Z70">
        <f t="shared" si="55"/>
        <v>-53.175042779819663</v>
      </c>
    </row>
    <row r="71" spans="1:26" x14ac:dyDescent="0.4">
      <c r="A71" s="4"/>
    </row>
    <row r="72" spans="1:26" x14ac:dyDescent="0.4">
      <c r="A72" s="5" t="s">
        <v>30</v>
      </c>
      <c r="B72">
        <v>-6</v>
      </c>
      <c r="C72">
        <f>-SIN(RADIANS($B2))*T44+COS(RADIANS($B2))*T72</f>
        <v>0</v>
      </c>
      <c r="D72">
        <f t="shared" ref="D72:I84" si="56">-SIN(RADIANS($B2))*U44+COS(RADIANS($B2))*U72</f>
        <v>6.642577108970853</v>
      </c>
      <c r="E72">
        <f t="shared" si="56"/>
        <v>4.0228474680203856</v>
      </c>
      <c r="F72">
        <f t="shared" si="56"/>
        <v>15.383966302629974</v>
      </c>
      <c r="G72">
        <f t="shared" si="56"/>
        <v>19.129023811318895</v>
      </c>
      <c r="H72">
        <f t="shared" si="56"/>
        <v>9.5436419896932492</v>
      </c>
      <c r="I72">
        <f t="shared" si="56"/>
        <v>17.070926546276848</v>
      </c>
      <c r="L72">
        <v>0</v>
      </c>
      <c r="M72">
        <v>8.9135320998586973</v>
      </c>
      <c r="N72">
        <v>7.3812645025139023</v>
      </c>
      <c r="O72">
        <v>22.635711754286671</v>
      </c>
      <c r="P72">
        <v>29.074721382111409</v>
      </c>
      <c r="Q72">
        <v>20.660576573651941</v>
      </c>
      <c r="R72">
        <v>30.85497821370744</v>
      </c>
      <c r="T72">
        <f>L72+0.167*L16</f>
        <v>0</v>
      </c>
      <c r="U72">
        <f t="shared" ref="U72:Z84" si="57">M72+0.167*M16</f>
        <v>7.2112840076614297</v>
      </c>
      <c r="V72">
        <f t="shared" si="57"/>
        <v>4.576779276022668</v>
      </c>
      <c r="W72">
        <f t="shared" si="57"/>
        <v>16.778883054839582</v>
      </c>
      <c r="X72">
        <f t="shared" si="57"/>
        <v>20.802588755499034</v>
      </c>
      <c r="Y72">
        <f t="shared" si="57"/>
        <v>10.915838830373218</v>
      </c>
      <c r="Z72">
        <f t="shared" si="57"/>
        <v>18.495374497275112</v>
      </c>
    </row>
    <row r="73" spans="1:26" x14ac:dyDescent="0.4">
      <c r="A73" s="5"/>
      <c r="B73">
        <v>-4</v>
      </c>
      <c r="C73">
        <f t="shared" ref="C73:C84" si="58">-SIN(RADIANS($B3))*T45+COS(RADIANS($B3))*T73</f>
        <v>0</v>
      </c>
      <c r="D73">
        <f t="shared" si="56"/>
        <v>6.2257326891505933</v>
      </c>
      <c r="E73">
        <f t="shared" si="56"/>
        <v>13.82639457999575</v>
      </c>
      <c r="F73">
        <f t="shared" si="56"/>
        <v>22.189447697998535</v>
      </c>
      <c r="G73">
        <f t="shared" si="56"/>
        <v>24.91880565609009</v>
      </c>
      <c r="H73">
        <f t="shared" si="56"/>
        <v>15.189959624308825</v>
      </c>
      <c r="I73">
        <f t="shared" si="56"/>
        <v>15.296933036063759</v>
      </c>
      <c r="L73">
        <v>0</v>
      </c>
      <c r="M73">
        <v>8.3084307997881304</v>
      </c>
      <c r="N73">
        <v>18.067523816855569</v>
      </c>
      <c r="O73">
        <v>29.987538017468989</v>
      </c>
      <c r="P73">
        <v>35.42231168591524</v>
      </c>
      <c r="Q73">
        <v>27.303123700840089</v>
      </c>
      <c r="R73">
        <v>29.614506949907337</v>
      </c>
      <c r="T73">
        <f t="shared" ref="T73:T84" si="59">L73+0.167*L17</f>
        <v>0</v>
      </c>
      <c r="U73">
        <f t="shared" si="57"/>
        <v>6.6414094540727877</v>
      </c>
      <c r="V73">
        <f t="shared" si="57"/>
        <v>14.653414509392736</v>
      </c>
      <c r="W73">
        <f t="shared" si="57"/>
        <v>23.615477179014484</v>
      </c>
      <c r="X73">
        <f t="shared" si="57"/>
        <v>26.517754242991117</v>
      </c>
      <c r="Y73">
        <f t="shared" si="57"/>
        <v>16.892620822852507</v>
      </c>
      <c r="Z73">
        <f t="shared" si="57"/>
        <v>17.132148188424271</v>
      </c>
    </row>
    <row r="74" spans="1:26" x14ac:dyDescent="0.4">
      <c r="A74" s="5"/>
      <c r="B74">
        <v>-2</v>
      </c>
      <c r="C74">
        <f t="shared" si="58"/>
        <v>0</v>
      </c>
      <c r="D74">
        <f t="shared" si="56"/>
        <v>6.9968699497393469</v>
      </c>
      <c r="E74">
        <f t="shared" si="56"/>
        <v>15.298355519402559</v>
      </c>
      <c r="F74">
        <f t="shared" si="56"/>
        <v>26.037197255407335</v>
      </c>
      <c r="G74">
        <f t="shared" si="56"/>
        <v>28.499643015143036</v>
      </c>
      <c r="H74">
        <f t="shared" si="56"/>
        <v>14.810296972149285</v>
      </c>
      <c r="I74">
        <f t="shared" si="56"/>
        <v>16.908242278857553</v>
      </c>
      <c r="L74">
        <v>0</v>
      </c>
      <c r="M74">
        <v>8.9100876433277438</v>
      </c>
      <c r="N74">
        <v>19.186658619009314</v>
      </c>
      <c r="O74">
        <v>33.312110676654129</v>
      </c>
      <c r="P74">
        <v>38.369727568038222</v>
      </c>
      <c r="Q74">
        <v>25.865471297735319</v>
      </c>
      <c r="R74">
        <v>30.240286102669316</v>
      </c>
      <c r="T74">
        <f t="shared" si="59"/>
        <v>0</v>
      </c>
      <c r="U74">
        <f t="shared" si="57"/>
        <v>7.1997993082816194</v>
      </c>
      <c r="V74">
        <f t="shared" si="57"/>
        <v>15.704794866333819</v>
      </c>
      <c r="W74">
        <f t="shared" si="57"/>
        <v>26.728217244620346</v>
      </c>
      <c r="X74">
        <f t="shared" si="57"/>
        <v>29.333312524112991</v>
      </c>
      <c r="Y74">
        <f t="shared" si="57"/>
        <v>15.575649382384071</v>
      </c>
      <c r="Z74">
        <f t="shared" si="57"/>
        <v>17.747703114597186</v>
      </c>
    </row>
    <row r="75" spans="1:26" x14ac:dyDescent="0.4">
      <c r="A75" s="5"/>
      <c r="B75">
        <v>0</v>
      </c>
      <c r="C75">
        <f t="shared" si="58"/>
        <v>0</v>
      </c>
      <c r="D75">
        <f t="shared" si="56"/>
        <v>7.5059956462554744</v>
      </c>
      <c r="E75">
        <f t="shared" si="56"/>
        <v>16.116842746991907</v>
      </c>
      <c r="F75">
        <f t="shared" si="56"/>
        <v>30.265902371209918</v>
      </c>
      <c r="G75">
        <f t="shared" si="56"/>
        <v>29.291787663035389</v>
      </c>
      <c r="H75">
        <f t="shared" si="56"/>
        <v>16.565108815533222</v>
      </c>
      <c r="I75">
        <f t="shared" si="56"/>
        <v>19.494625534265491</v>
      </c>
      <c r="L75">
        <v>0</v>
      </c>
      <c r="M75">
        <v>9.2361915452651857</v>
      </c>
      <c r="N75">
        <v>19.62576047702596</v>
      </c>
      <c r="O75">
        <v>37.079536360157384</v>
      </c>
      <c r="P75">
        <v>38.326476998724999</v>
      </c>
      <c r="Q75">
        <v>26.912324824620139</v>
      </c>
      <c r="R75">
        <v>32.09864912168662</v>
      </c>
      <c r="T75">
        <f t="shared" si="59"/>
        <v>0</v>
      </c>
      <c r="U75">
        <f t="shared" si="57"/>
        <v>7.5059956462554744</v>
      </c>
      <c r="V75">
        <f t="shared" si="57"/>
        <v>16.116842746991907</v>
      </c>
      <c r="W75">
        <f t="shared" si="57"/>
        <v>30.265902371209918</v>
      </c>
      <c r="X75">
        <f t="shared" si="57"/>
        <v>29.291787663035389</v>
      </c>
      <c r="Y75">
        <f t="shared" si="57"/>
        <v>16.565108815533222</v>
      </c>
      <c r="Z75">
        <f t="shared" si="57"/>
        <v>19.494625534265491</v>
      </c>
    </row>
    <row r="76" spans="1:26" x14ac:dyDescent="0.4">
      <c r="A76" s="5"/>
      <c r="B76">
        <v>2</v>
      </c>
      <c r="C76">
        <f t="shared" si="58"/>
        <v>0</v>
      </c>
      <c r="D76">
        <f t="shared" si="56"/>
        <v>7.972449665153964</v>
      </c>
      <c r="E76">
        <f t="shared" si="56"/>
        <v>16.873895101061418</v>
      </c>
      <c r="F76">
        <f t="shared" si="56"/>
        <v>34.909052734047741</v>
      </c>
      <c r="G76">
        <f t="shared" si="56"/>
        <v>30.244068737779152</v>
      </c>
      <c r="H76">
        <f t="shared" si="56"/>
        <v>21.268716223307059</v>
      </c>
      <c r="I76">
        <f t="shared" si="56"/>
        <v>23.21038843456121</v>
      </c>
      <c r="L76">
        <v>0</v>
      </c>
      <c r="M76">
        <v>9.5244375056887449</v>
      </c>
      <c r="N76">
        <v>20.023911626143228</v>
      </c>
      <c r="O76">
        <v>41.261416239727751</v>
      </c>
      <c r="P76">
        <v>38.497518612171348</v>
      </c>
      <c r="Q76">
        <v>31.088757366203897</v>
      </c>
      <c r="R76">
        <v>35.15300948549406</v>
      </c>
      <c r="T76">
        <f t="shared" si="59"/>
        <v>0</v>
      </c>
      <c r="U76">
        <f t="shared" si="57"/>
        <v>7.77618008447278</v>
      </c>
      <c r="V76">
        <f t="shared" si="57"/>
        <v>16.48986239160649</v>
      </c>
      <c r="W76">
        <f t="shared" si="57"/>
        <v>34.192384668906499</v>
      </c>
      <c r="X76">
        <f t="shared" si="57"/>
        <v>29.461587426240492</v>
      </c>
      <c r="Y76">
        <f t="shared" si="57"/>
        <v>20.506179431954635</v>
      </c>
      <c r="Z76">
        <f t="shared" si="57"/>
        <v>22.39434331490471</v>
      </c>
    </row>
    <row r="77" spans="1:26" x14ac:dyDescent="0.4">
      <c r="A77" s="5"/>
      <c r="B77">
        <v>4</v>
      </c>
      <c r="C77">
        <f t="shared" si="58"/>
        <v>0</v>
      </c>
      <c r="D77">
        <f t="shared" si="56"/>
        <v>8.6794314231306746</v>
      </c>
      <c r="E77">
        <f t="shared" si="56"/>
        <v>17.596307624943265</v>
      </c>
      <c r="F77">
        <f t="shared" si="56"/>
        <v>35.133641700937666</v>
      </c>
      <c r="G77">
        <f t="shared" si="56"/>
        <v>28.261883588871708</v>
      </c>
      <c r="H77">
        <f t="shared" si="56"/>
        <v>19.298741943847762</v>
      </c>
      <c r="I77">
        <f t="shared" si="56"/>
        <v>24.260700308641358</v>
      </c>
      <c r="L77">
        <v>0</v>
      </c>
      <c r="M77">
        <v>10.071564490197051</v>
      </c>
      <c r="N77">
        <v>20.399208128177602</v>
      </c>
      <c r="O77">
        <v>40.766228314047176</v>
      </c>
      <c r="P77">
        <v>35.61138607628034</v>
      </c>
      <c r="Q77">
        <v>28.189153830526212</v>
      </c>
      <c r="R77">
        <v>35.322741017058682</v>
      </c>
      <c r="T77">
        <f t="shared" si="59"/>
        <v>0</v>
      </c>
      <c r="U77">
        <f t="shared" si="57"/>
        <v>8.2887087771578436</v>
      </c>
      <c r="V77">
        <f t="shared" si="57"/>
        <v>16.839570539059139</v>
      </c>
      <c r="W77">
        <f t="shared" si="57"/>
        <v>33.727056353009942</v>
      </c>
      <c r="X77">
        <f t="shared" si="57"/>
        <v>26.747467509958099</v>
      </c>
      <c r="Y77">
        <f t="shared" si="57"/>
        <v>17.773245889155113</v>
      </c>
      <c r="Z77">
        <f t="shared" si="57"/>
        <v>22.565526419991446</v>
      </c>
    </row>
    <row r="78" spans="1:26" x14ac:dyDescent="0.4">
      <c r="A78" s="5"/>
      <c r="B78">
        <v>6</v>
      </c>
      <c r="C78">
        <f t="shared" si="58"/>
        <v>0</v>
      </c>
      <c r="D78">
        <f t="shared" si="56"/>
        <v>9.7525584614859184</v>
      </c>
      <c r="E78">
        <f t="shared" si="56"/>
        <v>18.901742485100961</v>
      </c>
      <c r="F78">
        <f t="shared" si="56"/>
        <v>35.575690128456053</v>
      </c>
      <c r="G78">
        <f t="shared" si="56"/>
        <v>29.816248742584278</v>
      </c>
      <c r="H78">
        <f t="shared" si="56"/>
        <v>27.963341978458242</v>
      </c>
      <c r="I78">
        <f t="shared" si="56"/>
        <v>28.474284120015611</v>
      </c>
      <c r="L78">
        <v>0</v>
      </c>
      <c r="M78">
        <v>11.009633427140527</v>
      </c>
      <c r="N78">
        <v>21.395294115737691</v>
      </c>
      <c r="O78">
        <v>40.48482586463183</v>
      </c>
      <c r="P78">
        <v>36.23908492352632</v>
      </c>
      <c r="Q78">
        <v>36.160433094134135</v>
      </c>
      <c r="R78">
        <v>38.503286407167906</v>
      </c>
      <c r="T78">
        <f t="shared" si="59"/>
        <v>0</v>
      </c>
      <c r="U78">
        <f t="shared" si="57"/>
        <v>9.1662858458358141</v>
      </c>
      <c r="V78">
        <f t="shared" si="57"/>
        <v>17.770332532358871</v>
      </c>
      <c r="W78">
        <f t="shared" si="57"/>
        <v>33.456928949583641</v>
      </c>
      <c r="X78">
        <f t="shared" si="57"/>
        <v>27.324299006725877</v>
      </c>
      <c r="Y78">
        <f t="shared" si="57"/>
        <v>25.19661845425258</v>
      </c>
      <c r="Z78">
        <f t="shared" si="57"/>
        <v>25.442495572346488</v>
      </c>
    </row>
    <row r="79" spans="1:26" x14ac:dyDescent="0.4">
      <c r="A79" s="5"/>
      <c r="B79">
        <v>8</v>
      </c>
      <c r="C79">
        <f t="shared" si="58"/>
        <v>0</v>
      </c>
      <c r="D79">
        <f t="shared" si="56"/>
        <v>10.833835011364545</v>
      </c>
      <c r="E79">
        <f t="shared" si="56"/>
        <v>20.104155395321921</v>
      </c>
      <c r="F79">
        <f t="shared" si="56"/>
        <v>36.900795190134218</v>
      </c>
      <c r="G79">
        <f t="shared" si="56"/>
        <v>33.092243044081897</v>
      </c>
      <c r="H79">
        <f t="shared" si="56"/>
        <v>33.554122315451529</v>
      </c>
      <c r="I79">
        <f t="shared" si="56"/>
        <v>32.006686290341506</v>
      </c>
      <c r="L79">
        <v>0</v>
      </c>
      <c r="M79">
        <v>11.963759434693394</v>
      </c>
      <c r="N79">
        <v>22.2858011389641</v>
      </c>
      <c r="O79">
        <v>41.120216294515444</v>
      </c>
      <c r="P79">
        <v>38.90552460731373</v>
      </c>
      <c r="Q79">
        <v>40.948019335356918</v>
      </c>
      <c r="R79">
        <v>40.831746954233324</v>
      </c>
      <c r="T79">
        <f t="shared" si="59"/>
        <v>0</v>
      </c>
      <c r="U79">
        <f t="shared" si="57"/>
        <v>10.058988832566481</v>
      </c>
      <c r="V79">
        <f t="shared" si="57"/>
        <v>18.594058460020726</v>
      </c>
      <c r="W79">
        <f t="shared" si="57"/>
        <v>34.030340250849534</v>
      </c>
      <c r="X79">
        <f t="shared" si="57"/>
        <v>29.83810840335352</v>
      </c>
      <c r="Y79">
        <f t="shared" si="57"/>
        <v>29.678759001683432</v>
      </c>
      <c r="Z79">
        <f t="shared" si="57"/>
        <v>27.623894955876438</v>
      </c>
    </row>
    <row r="80" spans="1:26" x14ac:dyDescent="0.4">
      <c r="A80" s="5"/>
      <c r="B80">
        <v>10</v>
      </c>
      <c r="C80">
        <f t="shared" si="58"/>
        <v>0</v>
      </c>
      <c r="D80">
        <f t="shared" si="56"/>
        <v>16.947421227099166</v>
      </c>
      <c r="E80">
        <f t="shared" si="56"/>
        <v>19.388883473937717</v>
      </c>
      <c r="F80">
        <f t="shared" si="56"/>
        <v>35.391121559378874</v>
      </c>
      <c r="G80">
        <f t="shared" si="56"/>
        <v>39.025012741282474</v>
      </c>
      <c r="H80">
        <f t="shared" si="56"/>
        <v>33.857692121220857</v>
      </c>
      <c r="I80">
        <f t="shared" si="56"/>
        <v>31.181777567489593</v>
      </c>
      <c r="L80">
        <v>0</v>
      </c>
      <c r="M80">
        <v>19.720493200875975</v>
      </c>
      <c r="N80">
        <v>22.562944540135653</v>
      </c>
      <c r="O80">
        <v>39.912967936418319</v>
      </c>
      <c r="P80">
        <v>44.523445118659261</v>
      </c>
      <c r="Q80">
        <v>40.24780247797549</v>
      </c>
      <c r="R80">
        <v>38.612833488572811</v>
      </c>
      <c r="T80">
        <f t="shared" si="59"/>
        <v>0</v>
      </c>
      <c r="U80">
        <f t="shared" si="57"/>
        <v>17.922325036010243</v>
      </c>
      <c r="V80">
        <f t="shared" si="57"/>
        <v>19.470136969297826</v>
      </c>
      <c r="W80">
        <f t="shared" si="57"/>
        <v>33.526022374748493</v>
      </c>
      <c r="X80">
        <f t="shared" si="57"/>
        <v>35.677806651543342</v>
      </c>
      <c r="Y80">
        <f t="shared" si="57"/>
        <v>29.542111720014049</v>
      </c>
      <c r="Z80">
        <f t="shared" si="57"/>
        <v>25.963375873598004</v>
      </c>
    </row>
    <row r="81" spans="1:26" x14ac:dyDescent="0.4">
      <c r="A81" s="5"/>
      <c r="B81">
        <v>11</v>
      </c>
      <c r="C81">
        <f t="shared" si="58"/>
        <v>0</v>
      </c>
      <c r="D81">
        <f t="shared" si="56"/>
        <v>15.223403440912433</v>
      </c>
      <c r="E81">
        <f t="shared" si="56"/>
        <v>18.840955083813455</v>
      </c>
      <c r="F81">
        <f t="shared" si="56"/>
        <v>34.937444200577197</v>
      </c>
      <c r="G81">
        <f t="shared" si="56"/>
        <v>39.486564183881121</v>
      </c>
      <c r="H81">
        <f t="shared" si="56"/>
        <v>33.891251784950718</v>
      </c>
      <c r="I81">
        <f t="shared" si="56"/>
        <v>31.86303513202235</v>
      </c>
      <c r="L81">
        <v>0</v>
      </c>
      <c r="M81">
        <v>15.929418108778261</v>
      </c>
      <c r="N81">
        <v>19.862428304645434</v>
      </c>
      <c r="O81">
        <v>39.619232972954492</v>
      </c>
      <c r="P81">
        <v>44.83764664546495</v>
      </c>
      <c r="Q81">
        <v>40.046578981746016</v>
      </c>
      <c r="R81">
        <v>38.781954983431845</v>
      </c>
      <c r="T81">
        <f t="shared" si="59"/>
        <v>0</v>
      </c>
      <c r="U81">
        <f t="shared" si="57"/>
        <v>13.88030241253581</v>
      </c>
      <c r="V81">
        <f t="shared" si="57"/>
        <v>16.551652879455744</v>
      </c>
      <c r="W81">
        <f t="shared" si="57"/>
        <v>33.451092872811699</v>
      </c>
      <c r="X81">
        <f t="shared" si="57"/>
        <v>36.185103615925229</v>
      </c>
      <c r="Y81">
        <f t="shared" si="57"/>
        <v>29.728821401136209</v>
      </c>
      <c r="Z81">
        <f t="shared" si="57"/>
        <v>26.461748157800759</v>
      </c>
    </row>
    <row r="82" spans="1:26" x14ac:dyDescent="0.4">
      <c r="A82" s="5"/>
      <c r="B82">
        <v>12</v>
      </c>
      <c r="C82">
        <f t="shared" si="58"/>
        <v>0</v>
      </c>
      <c r="D82">
        <f t="shared" si="56"/>
        <v>15.902916365272409</v>
      </c>
      <c r="E82">
        <f t="shared" si="56"/>
        <v>20.424327675823196</v>
      </c>
      <c r="F82">
        <f t="shared" si="56"/>
        <v>33.009689165772784</v>
      </c>
      <c r="G82">
        <f t="shared" si="56"/>
        <v>39.585198177011065</v>
      </c>
      <c r="H82">
        <f t="shared" si="56"/>
        <v>36.142179009951477</v>
      </c>
      <c r="I82">
        <f t="shared" si="56"/>
        <v>31.655072562767764</v>
      </c>
      <c r="L82">
        <v>0</v>
      </c>
      <c r="M82">
        <v>16.184974070858786</v>
      </c>
      <c r="N82">
        <v>20.522653626287447</v>
      </c>
      <c r="O82">
        <v>34.595429986872141</v>
      </c>
      <c r="P82">
        <v>44.559428747552261</v>
      </c>
      <c r="Q82">
        <v>41.328404682837011</v>
      </c>
      <c r="R82">
        <v>36.834210049286277</v>
      </c>
      <c r="T82">
        <f t="shared" si="59"/>
        <v>0</v>
      </c>
      <c r="U82">
        <f t="shared" si="57"/>
        <v>14.106057075680708</v>
      </c>
      <c r="V82">
        <f t="shared" si="57"/>
        <v>17.128119074724477</v>
      </c>
      <c r="W82">
        <f t="shared" si="57"/>
        <v>28.321908000138414</v>
      </c>
      <c r="X82">
        <f t="shared" si="57"/>
        <v>36.19925721008218</v>
      </c>
      <c r="Y82">
        <f t="shared" si="57"/>
        <v>31.071898519593645</v>
      </c>
      <c r="Z82">
        <f t="shared" si="57"/>
        <v>24.745326383249832</v>
      </c>
    </row>
    <row r="83" spans="1:26" x14ac:dyDescent="0.4">
      <c r="A83" s="5"/>
      <c r="B83">
        <v>13</v>
      </c>
      <c r="C83">
        <f t="shared" si="58"/>
        <v>0</v>
      </c>
      <c r="D83">
        <f t="shared" si="56"/>
        <v>16.247445178047847</v>
      </c>
      <c r="E83">
        <f t="shared" si="56"/>
        <v>22.036883898510339</v>
      </c>
      <c r="F83">
        <f t="shared" si="56"/>
        <v>36.176001480674429</v>
      </c>
      <c r="G83">
        <f t="shared" si="56"/>
        <v>34.635103571507557</v>
      </c>
      <c r="H83">
        <f t="shared" si="56"/>
        <v>43.217213346970368</v>
      </c>
      <c r="I83">
        <f t="shared" si="56"/>
        <v>37.255724708225401</v>
      </c>
      <c r="L83">
        <v>0</v>
      </c>
      <c r="M83">
        <v>16.868107843653796</v>
      </c>
      <c r="N83">
        <v>22.746463686243565</v>
      </c>
      <c r="O83">
        <v>38.159426352837215</v>
      </c>
      <c r="P83">
        <v>42.366869927625693</v>
      </c>
      <c r="Q83">
        <v>51.854278377782443</v>
      </c>
      <c r="R83">
        <v>45.286286885484543</v>
      </c>
      <c r="T83">
        <f t="shared" si="59"/>
        <v>0</v>
      </c>
      <c r="U83">
        <f t="shared" si="57"/>
        <v>14.776984359080073</v>
      </c>
      <c r="V83">
        <f t="shared" si="57"/>
        <v>19.276380868104106</v>
      </c>
      <c r="W83">
        <f t="shared" si="57"/>
        <v>31.708682190397674</v>
      </c>
      <c r="X83">
        <f t="shared" si="57"/>
        <v>34.442806887238916</v>
      </c>
      <c r="Y83">
        <f t="shared" si="57"/>
        <v>41.265187826452944</v>
      </c>
      <c r="Z83">
        <f t="shared" si="57"/>
        <v>32.970346614810843</v>
      </c>
    </row>
    <row r="84" spans="1:26" x14ac:dyDescent="0.4">
      <c r="A84" s="5"/>
      <c r="B84">
        <v>14</v>
      </c>
      <c r="C84">
        <f t="shared" si="58"/>
        <v>0</v>
      </c>
      <c r="D84">
        <f t="shared" si="56"/>
        <v>16.544398988441344</v>
      </c>
      <c r="E84">
        <f t="shared" si="56"/>
        <v>21.639762337208271</v>
      </c>
      <c r="F84">
        <f t="shared" si="56"/>
        <v>36.235354431434999</v>
      </c>
      <c r="G84">
        <f t="shared" si="56"/>
        <v>35.926370720330006</v>
      </c>
      <c r="H84">
        <f t="shared" si="56"/>
        <v>44.518048370153295</v>
      </c>
      <c r="I84">
        <f t="shared" si="56"/>
        <v>39.084704264532832</v>
      </c>
      <c r="L84">
        <v>0</v>
      </c>
      <c r="M84">
        <v>16.797282221515712</v>
      </c>
      <c r="N84">
        <v>21.672475173451943</v>
      </c>
      <c r="O84">
        <v>36.715747976758522</v>
      </c>
      <c r="P84">
        <v>37.091180019457227</v>
      </c>
      <c r="Q84">
        <v>51.520943074072427</v>
      </c>
      <c r="R84">
        <v>45.235731601133061</v>
      </c>
      <c r="T84">
        <f t="shared" si="59"/>
        <v>0</v>
      </c>
      <c r="U84">
        <f t="shared" si="57"/>
        <v>14.694985815639178</v>
      </c>
      <c r="V84">
        <f t="shared" si="57"/>
        <v>18.238289100604021</v>
      </c>
      <c r="W84">
        <f t="shared" si="57"/>
        <v>30.316375818213054</v>
      </c>
      <c r="X84">
        <f t="shared" si="57"/>
        <v>28.749371320845565</v>
      </c>
      <c r="Y84">
        <f t="shared" si="57"/>
        <v>40.836462954682645</v>
      </c>
      <c r="Z84">
        <f t="shared" si="57"/>
        <v>32.906788647043832</v>
      </c>
    </row>
  </sheetData>
  <mergeCells count="6">
    <mergeCell ref="A72:A84"/>
    <mergeCell ref="A2:A14"/>
    <mergeCell ref="A16:A28"/>
    <mergeCell ref="A30:A42"/>
    <mergeCell ref="A44:A56"/>
    <mergeCell ref="A58:A7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2478-EC75-43C1-9FB0-A15B71A2EF1B}">
  <dimension ref="A1:H40"/>
  <sheetViews>
    <sheetView topLeftCell="C1" zoomScale="63" workbookViewId="0">
      <selection activeCell="O57" sqref="O57"/>
    </sheetView>
  </sheetViews>
  <sheetFormatPr defaultRowHeight="13.9" x14ac:dyDescent="0.4"/>
  <cols>
    <col min="2" max="2" width="10.6640625" customWidth="1"/>
    <col min="3" max="3" width="10.53125" bestFit="1" customWidth="1"/>
    <col min="4" max="4" width="13.19921875" customWidth="1"/>
    <col min="5" max="5" width="11.46484375" customWidth="1"/>
    <col min="6" max="6" width="12.06640625" customWidth="1"/>
    <col min="7" max="7" width="12.19921875" customWidth="1"/>
    <col min="8" max="8" width="14.796875" customWidth="1"/>
  </cols>
  <sheetData>
    <row r="1" spans="1:8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</row>
    <row r="2" spans="1:8" x14ac:dyDescent="0.4">
      <c r="A2">
        <v>-30</v>
      </c>
      <c r="B2" s="1">
        <v>-5.505755079653051</v>
      </c>
      <c r="C2" s="1">
        <v>0</v>
      </c>
      <c r="D2" s="1">
        <v>40.520201034980687</v>
      </c>
      <c r="E2" s="1">
        <v>0</v>
      </c>
      <c r="F2" s="1">
        <v>120.6119715386136</v>
      </c>
      <c r="G2" s="1">
        <v>0</v>
      </c>
    </row>
    <row r="3" spans="1:8" x14ac:dyDescent="0.4">
      <c r="A3" s="2">
        <v>-20</v>
      </c>
      <c r="B3" s="1">
        <v>-3.173315886725335</v>
      </c>
      <c r="C3" s="1">
        <v>0</v>
      </c>
      <c r="D3" s="1">
        <v>31.51505795519742</v>
      </c>
      <c r="E3" s="1">
        <v>0</v>
      </c>
      <c r="F3" s="1">
        <v>92.939540413827075</v>
      </c>
      <c r="G3" s="1">
        <v>0</v>
      </c>
    </row>
    <row r="4" spans="1:8" x14ac:dyDescent="0.4">
      <c r="A4" s="2">
        <v>-10</v>
      </c>
      <c r="B4" s="1">
        <v>-1.0298788616095069</v>
      </c>
      <c r="C4" s="1">
        <v>0</v>
      </c>
      <c r="D4" s="1">
        <v>22.819093227800149</v>
      </c>
      <c r="E4" s="1">
        <v>0</v>
      </c>
      <c r="F4" s="1">
        <v>66.10475900039944</v>
      </c>
      <c r="G4" s="1">
        <v>0</v>
      </c>
    </row>
    <row r="5" spans="1:8" x14ac:dyDescent="0.4">
      <c r="A5" s="2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</row>
    <row r="6" spans="1:8" x14ac:dyDescent="0.4">
      <c r="A6" s="2">
        <v>10</v>
      </c>
      <c r="B6" s="1">
        <v>-0.57195734979269908</v>
      </c>
      <c r="C6" s="1">
        <v>0</v>
      </c>
      <c r="D6" s="1">
        <v>-22.963092203413769</v>
      </c>
      <c r="E6" s="1">
        <v>0</v>
      </c>
      <c r="F6" s="1">
        <v>-64.912715743479623</v>
      </c>
      <c r="G6" s="1">
        <v>0</v>
      </c>
    </row>
    <row r="7" spans="1:8" x14ac:dyDescent="0.4">
      <c r="A7" s="2">
        <v>20</v>
      </c>
      <c r="B7" s="1">
        <v>-2.49879974105581</v>
      </c>
      <c r="C7" s="1">
        <v>0</v>
      </c>
      <c r="D7" s="1">
        <v>-31.060592880618401</v>
      </c>
      <c r="E7" s="1">
        <v>0</v>
      </c>
      <c r="F7" s="1">
        <v>-86.436120949173329</v>
      </c>
      <c r="G7" s="1">
        <v>0</v>
      </c>
    </row>
    <row r="8" spans="1:8" x14ac:dyDescent="0.4">
      <c r="A8" s="2">
        <v>30</v>
      </c>
      <c r="B8" s="1">
        <v>-4.7256711124650064</v>
      </c>
      <c r="C8" s="1">
        <v>0</v>
      </c>
      <c r="D8" s="1">
        <v>-39.409091859466997</v>
      </c>
      <c r="E8" s="1">
        <v>0</v>
      </c>
      <c r="F8" s="1">
        <v>-108.13171128246979</v>
      </c>
      <c r="G8" s="1">
        <v>0</v>
      </c>
    </row>
    <row r="10" spans="1:8" x14ac:dyDescent="0.4">
      <c r="A10" t="s">
        <v>7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10</v>
      </c>
    </row>
    <row r="11" spans="1:8" x14ac:dyDescent="0.4">
      <c r="A11" s="2">
        <v>-30</v>
      </c>
      <c r="B11" s="1">
        <v>-6.067509634982672</v>
      </c>
      <c r="C11" s="1">
        <v>-0.74969206861833448</v>
      </c>
      <c r="D11" s="1">
        <v>-33.416400693725187</v>
      </c>
      <c r="E11" s="1">
        <v>65.556327210620992</v>
      </c>
      <c r="F11" s="1">
        <v>-8.0467063419184086</v>
      </c>
      <c r="G11" s="1">
        <v>-12.38351762326886</v>
      </c>
    </row>
    <row r="12" spans="1:8" x14ac:dyDescent="0.4">
      <c r="A12" s="2">
        <v>-20</v>
      </c>
      <c r="B12" s="1">
        <v>-3.99945985143192</v>
      </c>
      <c r="C12" s="1">
        <v>-0.72462294983947884</v>
      </c>
      <c r="D12" s="1">
        <v>-30.668713849106869</v>
      </c>
      <c r="E12" s="1">
        <v>60.536063196300248</v>
      </c>
      <c r="F12" s="1">
        <v>-7.6605419115749172</v>
      </c>
      <c r="G12" s="1">
        <v>-7.7971080259004211</v>
      </c>
    </row>
    <row r="13" spans="1:8" x14ac:dyDescent="0.4">
      <c r="A13" s="2">
        <v>-10</v>
      </c>
      <c r="B13" s="1">
        <v>-1.6667632556318119</v>
      </c>
      <c r="C13" s="1">
        <v>-0.56448827747908159</v>
      </c>
      <c r="D13" s="1">
        <v>-24.18685553096239</v>
      </c>
      <c r="E13" s="1">
        <v>47.637381374695103</v>
      </c>
      <c r="F13" s="1">
        <v>-6.1166267983549361</v>
      </c>
      <c r="G13" s="1">
        <v>-2.8220299560880799</v>
      </c>
    </row>
    <row r="14" spans="1:8" x14ac:dyDescent="0.4">
      <c r="A14" s="2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8" x14ac:dyDescent="0.4">
      <c r="A15" s="2">
        <v>10</v>
      </c>
      <c r="B15" s="1">
        <v>0.22806623753638181</v>
      </c>
      <c r="C15" s="1">
        <v>0.57790910660878336</v>
      </c>
      <c r="D15" s="1">
        <v>27.017765415876479</v>
      </c>
      <c r="E15" s="1">
        <v>-53.12605560570114</v>
      </c>
      <c r="F15" s="1">
        <v>6.886793227748953</v>
      </c>
      <c r="G15" s="1">
        <v>-0.70988111902298856</v>
      </c>
    </row>
    <row r="16" spans="1:8" x14ac:dyDescent="0.4">
      <c r="A16" s="2">
        <v>20</v>
      </c>
      <c r="B16" s="1">
        <v>-1.16595705750863</v>
      </c>
      <c r="C16" s="1">
        <v>1.054544432590629</v>
      </c>
      <c r="D16" s="1">
        <v>52.898726949815448</v>
      </c>
      <c r="E16" s="1">
        <v>-104.0713315122161</v>
      </c>
      <c r="F16" s="1">
        <v>13.71305650851602</v>
      </c>
      <c r="G16" s="1">
        <v>-4.9267742162711183</v>
      </c>
    </row>
    <row r="17" spans="1:8" x14ac:dyDescent="0.4">
      <c r="A17" s="2">
        <v>30</v>
      </c>
      <c r="B17" s="1">
        <v>-3.8257147090248309</v>
      </c>
      <c r="C17" s="1">
        <v>1.3207686936905749</v>
      </c>
      <c r="D17" s="1">
        <v>67.197356587538337</v>
      </c>
      <c r="E17" s="1">
        <v>-131.9967450006535</v>
      </c>
      <c r="F17" s="1">
        <v>17.661990587688429</v>
      </c>
      <c r="G17" s="1">
        <v>-11.495385151368909</v>
      </c>
    </row>
    <row r="19" spans="1:8" x14ac:dyDescent="0.4">
      <c r="A19" t="s">
        <v>8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9</v>
      </c>
    </row>
    <row r="20" spans="1:8" x14ac:dyDescent="0.4">
      <c r="A20" s="2">
        <v>-30</v>
      </c>
      <c r="B20" s="3">
        <f>B17</f>
        <v>-3.8257147090248309</v>
      </c>
      <c r="C20" s="3">
        <f>-C17</f>
        <v>-1.3207686936905749</v>
      </c>
      <c r="D20" s="3">
        <f t="shared" ref="D20:F20" si="0">D17</f>
        <v>67.197356587538337</v>
      </c>
      <c r="E20" s="3">
        <f>-E17</f>
        <v>131.9967450006535</v>
      </c>
      <c r="F20" s="3">
        <f t="shared" si="0"/>
        <v>17.661990587688429</v>
      </c>
      <c r="G20" s="3">
        <f>-G17</f>
        <v>11.495385151368909</v>
      </c>
    </row>
    <row r="21" spans="1:8" x14ac:dyDescent="0.4">
      <c r="A21" s="2">
        <v>-20</v>
      </c>
      <c r="B21" s="3">
        <f>B16</f>
        <v>-1.16595705750863</v>
      </c>
      <c r="C21" s="3">
        <f>-C16</f>
        <v>-1.054544432590629</v>
      </c>
      <c r="D21" s="3">
        <f>D16</f>
        <v>52.898726949815448</v>
      </c>
      <c r="E21">
        <f>-E16</f>
        <v>104.0713315122161</v>
      </c>
      <c r="F21">
        <f>F16</f>
        <v>13.71305650851602</v>
      </c>
      <c r="G21">
        <f>-G16</f>
        <v>4.9267742162711183</v>
      </c>
    </row>
    <row r="22" spans="1:8" x14ac:dyDescent="0.4">
      <c r="A22" s="2">
        <v>-10</v>
      </c>
      <c r="B22" s="3">
        <f>B15</f>
        <v>0.22806623753638181</v>
      </c>
      <c r="C22" s="3">
        <f>-C15</f>
        <v>-0.57790910660878336</v>
      </c>
      <c r="D22">
        <f>D15</f>
        <v>27.017765415876479</v>
      </c>
      <c r="E22">
        <f>-E15</f>
        <v>53.12605560570114</v>
      </c>
      <c r="F22">
        <f>F15</f>
        <v>6.886793227748953</v>
      </c>
      <c r="G22">
        <f>-G15</f>
        <v>0.70988111902298856</v>
      </c>
    </row>
    <row r="23" spans="1:8" x14ac:dyDescent="0.4">
      <c r="A23" s="2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8" x14ac:dyDescent="0.4">
      <c r="A24" s="2">
        <v>10</v>
      </c>
      <c r="B24" s="3">
        <f>B13</f>
        <v>-1.6667632556318119</v>
      </c>
      <c r="C24" s="3">
        <f>-C13</f>
        <v>0.56448827747908159</v>
      </c>
      <c r="D24">
        <f>D13</f>
        <v>-24.18685553096239</v>
      </c>
      <c r="E24">
        <f>-E13</f>
        <v>-47.637381374695103</v>
      </c>
      <c r="F24">
        <f>F13</f>
        <v>-6.1166267983549361</v>
      </c>
      <c r="G24">
        <f>-G13</f>
        <v>2.8220299560880799</v>
      </c>
    </row>
    <row r="25" spans="1:8" x14ac:dyDescent="0.4">
      <c r="A25" s="2">
        <v>20</v>
      </c>
      <c r="B25" s="3">
        <f>B12</f>
        <v>-3.99945985143192</v>
      </c>
      <c r="C25" s="3">
        <f>-C12</f>
        <v>0.72462294983947884</v>
      </c>
      <c r="D25">
        <f>D12</f>
        <v>-30.668713849106869</v>
      </c>
      <c r="E25">
        <f>-E12</f>
        <v>-60.536063196300248</v>
      </c>
      <c r="F25">
        <f>F12</f>
        <v>-7.6605419115749172</v>
      </c>
      <c r="G25">
        <f>-G12</f>
        <v>7.7971080259004211</v>
      </c>
    </row>
    <row r="26" spans="1:8" x14ac:dyDescent="0.4">
      <c r="A26" s="2">
        <v>30</v>
      </c>
      <c r="B26" s="3">
        <f>B11</f>
        <v>-6.067509634982672</v>
      </c>
      <c r="C26" s="3">
        <f>-C11</f>
        <v>0.74969206861833448</v>
      </c>
      <c r="D26" s="3">
        <f t="shared" ref="D26:F26" si="1">D11</f>
        <v>-33.416400693725187</v>
      </c>
      <c r="E26" s="3">
        <f>-E11</f>
        <v>-65.556327210620992</v>
      </c>
      <c r="F26" s="3">
        <f t="shared" si="1"/>
        <v>-8.0467063419184086</v>
      </c>
      <c r="G26" s="3">
        <f>-G11</f>
        <v>12.38351762326886</v>
      </c>
    </row>
    <row r="28" spans="1:8" x14ac:dyDescent="0.4">
      <c r="A28" t="s">
        <v>12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13</v>
      </c>
    </row>
    <row r="29" spans="1:8" x14ac:dyDescent="0.4">
      <c r="A29" s="2">
        <v>-30</v>
      </c>
      <c r="B29" s="3">
        <f>B35</f>
        <v>-5.6537521769667416</v>
      </c>
      <c r="C29" s="3">
        <f>-C35</f>
        <v>-45.865727938017542</v>
      </c>
      <c r="D29" s="3">
        <f t="shared" ref="D29:F29" si="2">D35</f>
        <v>-0.20529219202188639</v>
      </c>
      <c r="E29" s="3">
        <f>-E35</f>
        <v>-20.445723025235012</v>
      </c>
      <c r="F29" s="3">
        <f t="shared" si="2"/>
        <v>1.0787075128785799</v>
      </c>
      <c r="G29" s="3">
        <f>-G35</f>
        <v>127.804461821706</v>
      </c>
    </row>
    <row r="30" spans="1:8" x14ac:dyDescent="0.4">
      <c r="A30" s="2">
        <v>-20</v>
      </c>
      <c r="B30" s="3">
        <f>B34</f>
        <v>-3.2126405349621532</v>
      </c>
      <c r="C30" s="3">
        <f>-C34</f>
        <v>-38.305528467155142</v>
      </c>
      <c r="D30" s="1">
        <f>D34</f>
        <v>0.30125918238937288</v>
      </c>
      <c r="E30" s="3">
        <f>-E34</f>
        <v>-16.74321936373326</v>
      </c>
      <c r="F30" s="3">
        <f>F34</f>
        <v>1.801712441365531</v>
      </c>
      <c r="G30" s="3">
        <f>-G34</f>
        <v>106.8043006598031</v>
      </c>
    </row>
    <row r="31" spans="1:8" x14ac:dyDescent="0.4">
      <c r="A31" s="2">
        <v>-10</v>
      </c>
      <c r="B31" s="3">
        <f>B33</f>
        <v>-0.88457530157721287</v>
      </c>
      <c r="C31" s="3">
        <f>-C33</f>
        <v>-25.459290459042901</v>
      </c>
      <c r="D31" s="1">
        <f>D33</f>
        <v>0.27890752915789108</v>
      </c>
      <c r="E31" s="3">
        <f>-E33</f>
        <v>-12.165184528352089</v>
      </c>
      <c r="F31" s="3">
        <f>F33</f>
        <v>0.98717191351742173</v>
      </c>
      <c r="G31" s="3">
        <f>-G33</f>
        <v>70.957642628593192</v>
      </c>
    </row>
    <row r="32" spans="1:8" x14ac:dyDescent="0.4">
      <c r="A32" s="2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</row>
    <row r="33" spans="1:7" x14ac:dyDescent="0.4">
      <c r="A33" s="2">
        <v>10</v>
      </c>
      <c r="B33" s="1">
        <v>-0.88457530157721287</v>
      </c>
      <c r="C33" s="1">
        <v>25.459290459042901</v>
      </c>
      <c r="D33" s="1">
        <v>0.27890752915789108</v>
      </c>
      <c r="E33" s="1">
        <v>12.165184528352089</v>
      </c>
      <c r="F33" s="1">
        <v>0.98717191351742173</v>
      </c>
      <c r="G33" s="1">
        <v>-70.957642628593192</v>
      </c>
    </row>
    <row r="34" spans="1:7" x14ac:dyDescent="0.4">
      <c r="A34" s="2">
        <v>20</v>
      </c>
      <c r="B34" s="1">
        <v>-3.2126405349621532</v>
      </c>
      <c r="C34" s="1">
        <v>38.305528467155142</v>
      </c>
      <c r="D34" s="1">
        <v>0.30125918238937288</v>
      </c>
      <c r="E34" s="1">
        <v>16.74321936373326</v>
      </c>
      <c r="F34" s="1">
        <v>1.801712441365531</v>
      </c>
      <c r="G34" s="1">
        <v>-106.8043006598031</v>
      </c>
    </row>
    <row r="35" spans="1:7" x14ac:dyDescent="0.4">
      <c r="A35" s="2">
        <v>30</v>
      </c>
      <c r="B35" s="1">
        <v>-5.6537521769667416</v>
      </c>
      <c r="C35" s="1">
        <v>45.865727938017542</v>
      </c>
      <c r="D35" s="1">
        <v>-0.20529219202188639</v>
      </c>
      <c r="E35" s="1">
        <v>20.445723025235012</v>
      </c>
      <c r="F35" s="1">
        <v>1.0787075128785799</v>
      </c>
      <c r="G35" s="1">
        <v>-127.804461821706</v>
      </c>
    </row>
    <row r="37" spans="1:7" x14ac:dyDescent="0.4">
      <c r="A37" t="s">
        <v>11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</row>
    <row r="38" spans="1:7" x14ac:dyDescent="0.4">
      <c r="A38" s="2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</row>
    <row r="39" spans="1:7" x14ac:dyDescent="0.4">
      <c r="A39" s="2">
        <v>1</v>
      </c>
      <c r="B39" s="1">
        <v>-10.41420313061054</v>
      </c>
      <c r="C39" s="1">
        <v>0</v>
      </c>
      <c r="D39" s="1">
        <v>-170.21973027166459</v>
      </c>
      <c r="E39" s="1">
        <v>0</v>
      </c>
      <c r="F39" s="1">
        <v>-32.768531088442863</v>
      </c>
      <c r="G39" s="1">
        <v>0</v>
      </c>
    </row>
    <row r="40" spans="1:7" x14ac:dyDescent="0.4">
      <c r="A40" s="2">
        <v>2</v>
      </c>
      <c r="B40" s="1">
        <v>-25.19610176566378</v>
      </c>
      <c r="C40" s="1">
        <v>0</v>
      </c>
      <c r="D40" s="1">
        <v>-246.87556243437419</v>
      </c>
      <c r="E40" s="1">
        <v>0</v>
      </c>
      <c r="F40" s="1">
        <v>-47.705650139624908</v>
      </c>
      <c r="G40" s="1">
        <v>0</v>
      </c>
    </row>
  </sheetData>
  <phoneticPr fontId="1" type="noConversion"/>
  <pageMargins left="0.7" right="0.7" top="0.75" bottom="0.75" header="0.3" footer="0.3"/>
  <ignoredErrors>
    <ignoredError sqref="C21:C22 D22 C24:C25 E21:E22 D24:D25 F24:F25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D269-1CEB-4E31-875B-88666882F966}">
  <dimension ref="A1:B14"/>
  <sheetViews>
    <sheetView tabSelected="1" workbookViewId="0">
      <selection activeCell="C17" sqref="C17"/>
    </sheetView>
  </sheetViews>
  <sheetFormatPr defaultRowHeight="13.9" x14ac:dyDescent="0.4"/>
  <sheetData>
    <row r="1" spans="1:2" x14ac:dyDescent="0.4">
      <c r="A1" t="s">
        <v>32</v>
      </c>
      <c r="B1" t="s">
        <v>33</v>
      </c>
    </row>
    <row r="2" spans="1:2" x14ac:dyDescent="0.4">
      <c r="A2" t="s">
        <v>31</v>
      </c>
      <c r="B2">
        <v>-45.848999999999997</v>
      </c>
    </row>
    <row r="3" spans="1:2" x14ac:dyDescent="0.4">
      <c r="A3" t="s">
        <v>36</v>
      </c>
      <c r="B3">
        <v>-3.0775999999999999</v>
      </c>
    </row>
    <row r="4" spans="1:2" x14ac:dyDescent="0.4">
      <c r="A4" t="s">
        <v>34</v>
      </c>
      <c r="B4">
        <v>13.004</v>
      </c>
    </row>
    <row r="5" spans="1:2" x14ac:dyDescent="0.4">
      <c r="A5" t="s">
        <v>35</v>
      </c>
      <c r="B5">
        <v>5.8177000000000003</v>
      </c>
    </row>
    <row r="6" spans="1:2" x14ac:dyDescent="0.4">
      <c r="A6" t="s">
        <v>37</v>
      </c>
      <c r="B6">
        <v>-0.62892999999999999</v>
      </c>
    </row>
    <row r="7" spans="1:2" x14ac:dyDescent="0.4">
      <c r="A7" t="s">
        <v>40</v>
      </c>
      <c r="B7">
        <v>0.15584999999999999</v>
      </c>
    </row>
    <row r="8" spans="1:2" x14ac:dyDescent="0.4">
      <c r="A8" t="s">
        <v>41</v>
      </c>
      <c r="B8">
        <v>-0.11662</v>
      </c>
    </row>
    <row r="9" spans="1:2" x14ac:dyDescent="0.4">
      <c r="A9" t="s">
        <v>38</v>
      </c>
      <c r="B9">
        <v>2.0151000000000001E-3</v>
      </c>
    </row>
    <row r="10" spans="1:2" x14ac:dyDescent="0.4">
      <c r="A10" t="s">
        <v>39</v>
      </c>
      <c r="B10">
        <v>-0.36527999999999999</v>
      </c>
    </row>
    <row r="11" spans="1:2" x14ac:dyDescent="0.4">
      <c r="A11" t="s">
        <v>42</v>
      </c>
      <c r="B11">
        <v>0.36157</v>
      </c>
    </row>
    <row r="12" spans="1:2" x14ac:dyDescent="0.4">
      <c r="A12" t="s">
        <v>43</v>
      </c>
      <c r="B12">
        <v>2.4550000000000001</v>
      </c>
    </row>
    <row r="13" spans="1:2" x14ac:dyDescent="0.4">
      <c r="A13" t="s">
        <v>44</v>
      </c>
      <c r="B13">
        <v>0.42899999999999999</v>
      </c>
    </row>
    <row r="14" spans="1:2" x14ac:dyDescent="0.4">
      <c r="A14" t="s">
        <v>45</v>
      </c>
      <c r="B14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基本气动_体轴系</vt:lpstr>
      <vt:lpstr>基本气动_风轴系</vt:lpstr>
      <vt:lpstr>舵效</vt:lpstr>
      <vt:lpstr>动导数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 Pan</dc:creator>
  <cp:lastModifiedBy>Chenliang Pan</cp:lastModifiedBy>
  <dcterms:created xsi:type="dcterms:W3CDTF">2026-08-05T06:40:04Z</dcterms:created>
  <dcterms:modified xsi:type="dcterms:W3CDTF">2026-08-17T17:24:43Z</dcterms:modified>
</cp:coreProperties>
</file>